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дел 1 Сбор, анализ и прорабо" sheetId="1" r:id="rId5"/>
    <sheet state="visible" name="Раздел 2 Анализ бизнес-процессо" sheetId="2" r:id="rId6"/>
    <sheet state="visible" name="Раздел 3 Анализ влияния " sheetId="3" r:id="rId7"/>
  </sheets>
  <definedNames/>
  <calcPr/>
</workbook>
</file>

<file path=xl/sharedStrings.xml><?xml version="1.0" encoding="utf-8"?>
<sst xmlns="http://schemas.openxmlformats.org/spreadsheetml/2006/main" count="325" uniqueCount="287">
  <si>
    <t>Сделайте копию шаблона через «Файл» — «Создать копию» и выполняйте задание в ней</t>
  </si>
  <si>
    <t>2. Укажите, какой кейс вы выбрали</t>
  </si>
  <si>
    <t>Кофейня Casual</t>
  </si>
  <si>
    <t>Составьте список уточняющих вопросов к заказчику по выбранному кейсу и объясните, почему выбрали именно эти вопросы</t>
  </si>
  <si>
    <t>Уточняющие вопросы</t>
  </si>
  <si>
    <t>Почему выбрали именно этот вопрос</t>
  </si>
  <si>
    <t>Цели компании</t>
  </si>
  <si>
    <t>Какой вы видите идеальную кофейню вашей будущей сети?</t>
  </si>
  <si>
    <t>Этот вопрос прямой путь к формулированию миссии, видения которой у собственника пока нет</t>
  </si>
  <si>
    <t>Не могли бы вы привести 1-2 примеров ключевых целей, которые стоят перед кофейней прямо сейчас?</t>
  </si>
  <si>
    <t>Проверить связь между глобальным видением и текущей деятельностью</t>
  </si>
  <si>
    <t>Какой горизонт планирования?</t>
  </si>
  <si>
    <t>Оценить стратегическую зрелость собственника и бизнеса</t>
  </si>
  <si>
    <t>Какими показателями вы пользуетесь при самостоятельной оценке достижения целей кофейни?</t>
  </si>
  <si>
    <t>Выявить наличие или отсутствие количественного показателя для определения движения к цели</t>
  </si>
  <si>
    <t>Что в вашем понимании "расшириться максимально"? Вас интересует расширение в рамках вашего города, или может быть вы рассматриваете региональный или международный масштаб вашего бизнеса?</t>
  </si>
  <si>
    <t>Определить видение собственника масштабов бизнеса в будущем</t>
  </si>
  <si>
    <t>Рассматривали ли Вы другие варианты донесения целей до сотрудников?</t>
  </si>
  <si>
    <t>Поиск точек роста для создания корпоративной культуры и снижение нагрузки на собственника</t>
  </si>
  <si>
    <t>Как вы понимаете, достигнута ли цель?</t>
  </si>
  <si>
    <t>Проверить, являются ли цели измеримыми</t>
  </si>
  <si>
    <t>Рассматривали ли вы изменение формата заведения? Например, формат take away или кофейня с зоной коворкинга?!</t>
  </si>
  <si>
    <t>Этот вопрос помогает оценить глубину проработки целей и готовности к масштабированию</t>
  </si>
  <si>
    <t>Бизнес процессы</t>
  </si>
  <si>
    <t>«Есть ли у вас стандарты приготовления каждого напитка (рецепт, время)? Кто и как следит за их соблюдением?»</t>
  </si>
  <si>
    <t>Выявление наличия или отсутствия технологического процесса создания напитка . Выявление зоны ответственности за соблюдением технологического процесса</t>
  </si>
  <si>
    <t xml:space="preserve">Вы ставите задачи устно. Как вы контролируете процесс их выполнения? </t>
  </si>
  <si>
    <t>Этот вопрос позволяет определить, есть ли у собственника инструменты контроля поставленных задач</t>
  </si>
  <si>
    <t>Есть ли риски со стороны поставщика зёрен и кондитерских изделий?</t>
  </si>
  <si>
    <t>Если есть риски, рассмотреть еще поставщиков</t>
  </si>
  <si>
    <t>Есть ли постоянные задачи, которые выполняет старший бариста?</t>
  </si>
  <si>
    <t>Постоянные задачи вынести в должностную инструкцию</t>
  </si>
  <si>
    <t>Не забывает ли старший бариста выполнять какие-либо задачи?</t>
  </si>
  <si>
    <t>Нагрузка на сотрудника, возможно для задач от собственника требуется отдельный сотрудник для их выполнения</t>
  </si>
  <si>
    <t>Почему вы не делегируете сложные задачи старшему баристе?</t>
  </si>
  <si>
    <t>Этот вопрос выявляет корень страха делегирования</t>
  </si>
  <si>
    <t>Ресурсы</t>
  </si>
  <si>
    <t>Есть ли ответственный сотрудник за регламенты?</t>
  </si>
  <si>
    <t>Выяснить, чья зона ответственности</t>
  </si>
  <si>
    <t>У вас есть постоянные поставщики на все позиции (кофе, молоко, сиропы, стаканы) или поиск каждый раз происходит заново? Есть ли договоры и фиксированные цены?</t>
  </si>
  <si>
    <t>Диагностика проблем с закупками и надежности бизнес-фундамента</t>
  </si>
  <si>
    <t>Составляете ли вы какой-либо бюджет или финансовый план на месяц/квартал?</t>
  </si>
  <si>
    <t>Оценка финансовой дисциплины и прогнозируемости рынка</t>
  </si>
  <si>
    <t>Персонал</t>
  </si>
  <si>
    <t>Чётко ли определены зоны ответственности старшего бариста?</t>
  </si>
  <si>
    <t>Определение зон ответственности</t>
  </si>
  <si>
    <t>Планируете ли ввести KPI или систему премирования, привязанную к целям бизнеса?</t>
  </si>
  <si>
    <t>Проверка связи между целями собственника и мотиваций команды</t>
  </si>
  <si>
    <t>Как происходит обучение новых сотрудников?</t>
  </si>
  <si>
    <t>Диагностика организационной культуры и выявления наличия/отсутствия единой системы обучения</t>
  </si>
  <si>
    <t>Информационные системы</t>
  </si>
  <si>
    <t>Чего именно вам не хватает в текущих системах (1С, R-Keeper)</t>
  </si>
  <si>
    <t>Определить, чего не хватает собственнику с текущих информационных системах, выявить потребности и определить приоритеты для дальнейшей автоматизации</t>
  </si>
  <si>
    <t>Какие именно документы, по вашему мнению, отсутствуют?</t>
  </si>
  <si>
    <t xml:space="preserve">Оценка глубины понимания бизнес-процессов собственником </t>
  </si>
  <si>
    <t>Вы рассматриваете внедрение CRM для работы с клиентами?</t>
  </si>
  <si>
    <t>Оценка понимания ценности клиентской базы и готовности к расширению бизнеса</t>
  </si>
  <si>
    <t>3. Составьте бриф (соберите бизнес-требования) для цели моделирования “Анализ и оптимизация деятельности”</t>
  </si>
  <si>
    <t xml:space="preserve">Блок </t>
  </si>
  <si>
    <t>Интерпретация результатов</t>
  </si>
  <si>
    <t xml:space="preserve">Цели компании </t>
  </si>
  <si>
    <t>1. Чётко сформулировать миссию и стратегические цели компании (в т.ч. франчайзинг, масштабирование).
2. Определить ключевые показатели (KPI) для оценки достижения целей (выручка, средний чек, лояльность клиентов).
3. Разработать план достижения целей с конкретными этапами и ответственными.</t>
  </si>
  <si>
    <t xml:space="preserve">Бизнес-процессы </t>
  </si>
  <si>
    <t>1. Описать и проанализировать текущие процессы: основные (продажи, производство), поддерживающие (закупки, уборка, учёт) и управленческие.
2. Выявить проблемы: отсутствие регламентов, конфликты, задержки, потери ресурсов.
3. Разработать оптимизированные процессы с чёткими регламентами, сроками, ролями и точками контроля.</t>
  </si>
  <si>
    <t xml:space="preserve">Ресурсы </t>
  </si>
  <si>
    <t>1. Определить перечень и нормы расходования ключевых ресурсов (кофе, молоко, стаканы и т.д.).
2. Внедрить систему учёта и управления запасами (минимизация ручного контроля, автоматизация заказов).
3. Описать процессы обслуживания и ремонта оборудования (кофемашины, кофемолки).</t>
  </si>
  <si>
    <t xml:space="preserve">Персонал </t>
  </si>
  <si>
    <t>1. Формализовать организационную структуру и должностные инструкции.
2. Разработать систему обучения и адаптации новых сотрудников.
3. Внедрить механизмы мотивации, оценки и обратной связи для персонала.
4. Чётко распределить зоны ответственности, особенно между руководителем и старшим бариста.</t>
  </si>
  <si>
    <t xml:space="preserve">Информационные системы </t>
  </si>
  <si>
    <t>1. Определить требования к ИС для поддержки процессов: учёт товаров, документооборот, планирование смен.
2. Выбрать и внедрить платформу для хранения регламентов и корпоративной информации (например, облачный сервис).
3. Интегрировать или модернизировать существующие системы (1С, R-Keeper) для автоматизации отчётности и контроля.</t>
  </si>
  <si>
    <t>4. Заполнить бриф для выбранного кейса в формате интеллект-карты.</t>
  </si>
  <si>
    <t>Для отрисовки брифа можете воспользоваться нашим шаблоном или использовать любые удобные инструменты, например:</t>
  </si>
  <si>
    <t>draw.io (diagrams.net)</t>
  </si>
  <si>
    <t>Camunda - Modeler</t>
  </si>
  <si>
    <t>Визуальная платформа для совместной работы любых команд | Miro</t>
  </si>
  <si>
    <t xml:space="preserve">Для редактирования нажмите на картинку, три точки и кнопку "Изменить". </t>
  </si>
  <si>
    <t>5. Спроектируйте проблемное поле по заполненному брифу</t>
  </si>
  <si>
    <t>Для отрисовки процесса можете воспользоваться нашим шаблоном или использовать любые удобные инструменты, например:</t>
  </si>
  <si>
    <t>Для редактирования нажмите на картинку, три точки и кнопку "Изменить". В шаблоне проблемного поля отсутствуют взаимосвязи между проблемами, их нужно дополнить самостоятельно.</t>
  </si>
  <si>
    <t>6. Оцените экономическую привлекательность и практическую применимость предложенных в кейсе стратегических инициатив</t>
  </si>
  <si>
    <t xml:space="preserve"> - в желтые ячейки вставьте значения из кейса для расчета</t>
  </si>
  <si>
    <t>СИ 1</t>
  </si>
  <si>
    <t>СИ 2</t>
  </si>
  <si>
    <t>СИ 3</t>
  </si>
  <si>
    <t>Выручка до реализации проекта, руб.</t>
  </si>
  <si>
    <t>Прирост выручки после реализации проекта, %</t>
  </si>
  <si>
    <t>Прирост выручки после реализации проекта, руб.</t>
  </si>
  <si>
    <t>Выручка после реализации проекта, руб.</t>
  </si>
  <si>
    <t xml:space="preserve">Постоянные затраты до реализации проекта, руб. </t>
  </si>
  <si>
    <t>Прирост постоянных расходов после реализации проекта, руб.</t>
  </si>
  <si>
    <t>Постоянные затраты после реализации проекта, руб.</t>
  </si>
  <si>
    <t>Коэффициент маржинального дохода до реализации проекта</t>
  </si>
  <si>
    <t>Коэффициент маржинального дохода после реализации проекта</t>
  </si>
  <si>
    <t xml:space="preserve">Точка безубыточности до реализации проекта, руб. </t>
  </si>
  <si>
    <t xml:space="preserve">Точка безубыточности после реализации проекта, руб. </t>
  </si>
  <si>
    <t>Прирост точки безубыточности, руб.</t>
  </si>
  <si>
    <t>Точка принятия решения: 
Сравнить пункт (3) с (12). Если (3) больше (12), то проект экономически привлекателен. Если (3) примерно равна (12) или меньше, то проект не стоит рассматривать</t>
  </si>
  <si>
    <t>Чистый доход от реализации проекта в мес., руб.</t>
  </si>
  <si>
    <t>Стоимость проекта, руб.</t>
  </si>
  <si>
    <t>Срок окупаемости после реализации проекта, мес.</t>
  </si>
  <si>
    <t>Срок реализации проекта, мес.</t>
  </si>
  <si>
    <t>Поправка срока реализации на риски, %</t>
  </si>
  <si>
    <t>Срок реализации проекта с учетом поправки на риск, мес.</t>
  </si>
  <si>
    <t>Срок возврата инвестиций, мес.</t>
  </si>
  <si>
    <r>
      <rPr>
        <rFont val="Arial"/>
        <b/>
        <color theme="1"/>
      </rPr>
      <t xml:space="preserve">Вывод: 
</t>
    </r>
    <r>
      <rPr>
        <rFont val="Arial"/>
        <b/>
        <color theme="1"/>
      </rPr>
      <t>Окупаемость (срок возврата инвестиций) стратегической инициативы равна ХХ
Ресурсоемкость (срок реализации проекта) стратегической инициативы равна YY</t>
    </r>
  </si>
  <si>
    <t>Вывод: Самая привлекательная стратегическая инициатива —"Регламент процесса «Продажи»". Критически важные факторы, определяющие лидерство СИ 1:</t>
  </si>
  <si>
    <t>Лучшая окупаемость - возврат инвестиций за 3,33 месяца (СИ2-4,47 мес., СИ3-7,5 мес.)</t>
  </si>
  <si>
    <t>Максимальная доходность - 48 000 руб. чистого дохода в месяц (СИ2-13 000 руб., СИ3- 24 000 руб.)</t>
  </si>
  <si>
    <t>Стабильность бизнеса - не увеличивает точку безубыточности</t>
  </si>
  <si>
    <t>Сбалансированная ресурсоемкость - средние инвестиции при высокой отдаче</t>
  </si>
  <si>
    <t>7.  Напишите сценарий сессии по проектированию проблемного поля с указанием ролей среди участников сессии, ЛПР сессии и вопросам к сессии.</t>
  </si>
  <si>
    <t>Дата встречи: …</t>
  </si>
  <si>
    <t>Тема встречи: Анализ и оптимизация деятельности компании.</t>
  </si>
  <si>
    <t>Распределение ролей среди участников сессии</t>
  </si>
  <si>
    <t>Разведчик</t>
  </si>
  <si>
    <t>Мыслитель</t>
  </si>
  <si>
    <t>Исполнитель</t>
  </si>
  <si>
    <t>Доводчик</t>
  </si>
  <si>
    <t>Коллективист</t>
  </si>
  <si>
    <t>Оценщик</t>
  </si>
  <si>
    <t>Формирователь</t>
  </si>
  <si>
    <t>Председатель</t>
  </si>
  <si>
    <t>Руководитель кофейни</t>
  </si>
  <si>
    <t>▮</t>
  </si>
  <si>
    <t>●</t>
  </si>
  <si>
    <t>Старший бариста</t>
  </si>
  <si>
    <t>Бариста 1</t>
  </si>
  <si>
    <t>Бариста 2</t>
  </si>
  <si>
    <t>Стажер-бариста</t>
  </si>
  <si>
    <t>●- основная роль</t>
  </si>
  <si>
    <t>▮- поддерживающая роль</t>
  </si>
  <si>
    <t>Роль/свойство</t>
  </si>
  <si>
    <t xml:space="preserve">Должность </t>
  </si>
  <si>
    <t>Лидер</t>
  </si>
  <si>
    <t>Креативность</t>
  </si>
  <si>
    <t>Коммуникабельность</t>
  </si>
  <si>
    <t>Исполнительность</t>
  </si>
  <si>
    <r>
      <rPr>
        <rFont val="Arial"/>
        <b/>
        <color theme="1"/>
      </rPr>
      <t>Ответ:</t>
    </r>
    <r>
      <rPr>
        <rFont val="Arial"/>
        <color theme="1"/>
      </rPr>
      <t xml:space="preserve"> ЛПР- руководитель кофейни. Обладает формальной властью, ответственностью за конечный результат и ключевой для принятия решений ролью Оценщика, что позволяет объективно анализировать предложенные проблемы и выбирать наиболее эффективные пути их решения</t>
    </r>
  </si>
  <si>
    <r>
      <rPr>
        <rFont val="Arial"/>
        <b/>
        <color theme="1"/>
      </rPr>
      <t xml:space="preserve">Вопросы: 
</t>
    </r>
    <r>
      <rPr>
        <rFont val="Arial"/>
        <color theme="1"/>
      </rPr>
      <t xml:space="preserve">
1. Как сотрудник кофейни, с какими основными трудностями вы сталкиваетесь ежедневно? Что, по вашему мнению, мешает нам обеспечивать идеальный сервис и повышать выручку? (Рассмотреть: процессы, оборудование, взаимодействие в команде, работа с клиентами).
2. Выберите 1-2 самые значимые проблемы. Почему они возникают? Какие коренные причины лежат в их основе?
3. К каким негативным последствиям приводит эта проблема сейчас (например, потеря клиентов, перерасход продуктов, выгорание сотрудников)? Что будет, если мы не решим её в течение года?
4.  Какие конкретные действия могут решить эту проблему "здесь и сейчас"? Какие превентивные меры могли бы полностью предотвратить её появление в будущем?
5.  Видите ли вы связь между выделенными проблемами?
6. Какой мы хотим видеть нашу кофейню через 3 года? Какие ключевые изменения в нашей работе (процессы, ассортимент, сервис) позволят нам устранить эти проблемы и достичь желаемого состояния?</t>
    </r>
  </si>
  <si>
    <r>
      <rPr>
        <rFont val="Arial"/>
        <b/>
        <color theme="1"/>
      </rPr>
      <t>Сценарий:
Общее время: 90 минут
Введение (5 минут)</t>
    </r>
    <r>
      <rPr>
        <rFont val="Arial"/>
        <b val="0"/>
        <color theme="1"/>
      </rPr>
      <t xml:space="preserve">
ЛПР (Руководитель) обозначает цель и важность сессии.
Модератор (Старший бариста) представляет регламент и правила работы (уважение к мнению каждого, критика идеи, а не человека).
</t>
    </r>
    <r>
      <rPr>
        <rFont val="Arial"/>
        <b/>
        <color theme="1"/>
      </rPr>
      <t>Этап 1: "Мозговой штурм" проблем (20 минут)</t>
    </r>
    <r>
      <rPr>
        <rFont val="Arial"/>
        <b val="0"/>
        <color theme="1"/>
      </rPr>
      <t xml:space="preserve">
Метод: Индивидуальное написание проблем на стикерах, затем их вывешивание на общую доску.
Задача: Собрать максимальный пул проблем.
Активные роли: Мыслитель (Бариста 1) генерирует глубокие и неочевидные проблемы. Разведчик (Старший бариста) добавляет проблемы, основанные на наблюдениях за клиентами и конкурентами.
</t>
    </r>
    <r>
      <rPr>
        <rFont val="Arial"/>
        <b/>
        <color theme="1"/>
      </rPr>
      <t xml:space="preserve">Этап 2: Группировка и приоритизация (15 минут) 
</t>
    </r>
    <r>
      <rPr>
        <rFont val="Arial"/>
        <b val="0"/>
        <color theme="1"/>
      </rPr>
      <t xml:space="preserve">Метод: Совместная группировка стикеров в кластеры (логические группы, напр.: "Клиентский сервис", "Внутренние процессы", "Продукты").
Задача: Определить 2-3 ключевые группы проблем для глубокого анализа.
Активные роли: Модератор (Старший бариста) управляет процессом. ЛПР (Руководитель) и Оценщик (Бариста 2) помогают выявить наиболее стратегически важные группы.
</t>
    </r>
    <r>
      <rPr>
        <rFont val="Arial"/>
        <b/>
        <color theme="1"/>
      </rPr>
      <t xml:space="preserve">Этап 3: Глубинный анализ (25 минут)
</t>
    </r>
    <r>
      <rPr>
        <rFont val="Arial"/>
        <b val="0"/>
        <color theme="1"/>
      </rPr>
      <t xml:space="preserve">Метод: "5 почему" для одной самой важной проблемы.
Задача: Докопаться до коренной причины.
Активные роли: Оценщики (Руководитель и Бариста 2) задают критические вопросы. Исполнитель (Стажер) фиксирует цепочку причин. Формирователь (Бариста 2) не дает команде остановиться на поверхностном ответе.
</t>
    </r>
    <r>
      <rPr>
        <rFont val="Arial"/>
        <b/>
        <color theme="1"/>
      </rPr>
      <t xml:space="preserve">Этап 4: Поиск решений (20 минут)
</t>
    </r>
    <r>
      <rPr>
        <rFont val="Arial"/>
        <b val="0"/>
        <color theme="1"/>
      </rPr>
      <t xml:space="preserve">Метод: Мозговой штурм по поиску решений для коренной причины.
Задача: Найти 3-5 возможных путей решения.
Активные роли: Мыслитель (Бариста 1) предлагает инновационные решения. Разведчик (Старший бариста) предлагает решения, которые уже работают у других.
</t>
    </r>
    <r>
      <rPr>
        <rFont val="Arial"/>
        <b/>
        <color theme="1"/>
      </rPr>
      <t xml:space="preserve">Этап 5: Отбор решений и план действий (15 минут)
</t>
    </r>
    <r>
      <rPr>
        <rFont val="Arial"/>
        <b val="0"/>
        <color theme="1"/>
      </rPr>
      <t xml:space="preserve">Метод: Быстрая оценка решений по критериям "Эффективность / Реализуемость".
Задача: Выбрать 1-2 решения для немедленной проработки.
Ключевой момент: ЛПР (Руководитель) принимает финальное решение, выслушав мнение Оценщиков. Исполнитель (Стажер) и Доводчик (Руководитель) набрасывают первые шаги и сроки.
</t>
    </r>
    <r>
      <rPr>
        <rFont val="Arial"/>
        <b/>
        <color theme="1"/>
      </rPr>
      <t xml:space="preserve">Резюме и завершение (5 минут)
</t>
    </r>
    <r>
      <rPr>
        <rFont val="Arial"/>
        <b val="0"/>
        <color theme="1"/>
      </rPr>
      <t xml:space="preserve">ЛПР (Руководитель) благодарит команду, резюмирует принятые решения и сообщает о следующих шагах.
</t>
    </r>
    <r>
      <rPr>
        <rFont val="Arial"/>
        <b/>
        <color theme="1"/>
      </rPr>
      <t xml:space="preserve">
</t>
    </r>
  </si>
  <si>
    <t>8. Предложите план мероприятий, направленных на устранение рейтинговых причин ключевой проблемы, с помощью диаграммы Исикава.</t>
  </si>
  <si>
    <t xml:space="preserve">Для редактирования нажмите на картинку, три точки в правом верхнем углу картинки и кнопку "Изменить". </t>
  </si>
  <si>
    <t>9. Постройте стратегическую карту компании на основании целей компании из описания кейсов.</t>
  </si>
  <si>
    <t>1. Для выбранного кейса составьте реестр (дерево) процесса “” с использованием референтной модели.</t>
  </si>
  <si>
    <t>Управление спросом на товары и услуги</t>
  </si>
  <si>
    <t>2. Сформируйте аналитическую диаграмму (процесс AS IS) для процесса “” в нотации EPC.</t>
  </si>
  <si>
    <t>Для отрисовки процесса можно использовать любые удобные инструменты, например:</t>
  </si>
  <si>
    <t>Отрисованный процесс вставьте в этот лист.</t>
  </si>
  <si>
    <t>3. Проведите визуальный анализ спроектированного процесса.</t>
  </si>
  <si>
    <t xml:space="preserve">Для визуального анализа необходимо предложить улучшения по текущему процессу (AS IS) и отрисовать новый процесс с учетом рекомендаций (TO BE) </t>
  </si>
  <si>
    <t>Визуальный анализ процесса AS IS:</t>
  </si>
  <si>
    <t>Проблемные зоны:</t>
  </si>
  <si>
    <t>Реактивный подход – процесс запускается только при возникновении проблемы (закончился товар).</t>
  </si>
  <si>
    <t xml:space="preserve">Отсутствие прогнозирования </t>
  </si>
  <si>
    <t xml:space="preserve">Нет данных для анализа – не собирается история продаж </t>
  </si>
  <si>
    <t>Ручное управление – все решения принимает руководитель интуитивно.</t>
  </si>
  <si>
    <t xml:space="preserve">Нет обратной связи – не оценивается точность прогнозов </t>
  </si>
  <si>
    <t>Рекомендации по улучшению (TO BE):</t>
  </si>
  <si>
    <t>Внедрить ежедневный учёт продаж – сбор данных для прогнозирования.</t>
  </si>
  <si>
    <t>Назначить ответственного за прогнозы – старший бариста + система R-Keeper.</t>
  </si>
  <si>
    <t>Разработать простую модель прогнозирования – на основе скользящего среднего за неделю/месяц.</t>
  </si>
  <si>
    <t>Ввести плановые закупки – раз в неделю на основе прогноза.</t>
  </si>
  <si>
    <t>Вести журнал расхождений – анализ причин отклонений прогноза от факта.</t>
  </si>
  <si>
    <t>1. Составьте матрицу стейкхолдеров для выбранного бизнеса. Выберите ключевого стейкхолдера. Обоснуйте свой выбор. Выработайте стратегию работы с ключевым стейкхолдером.</t>
  </si>
  <si>
    <t>Распределите стейкхолдеров по матрице процесса.</t>
  </si>
  <si>
    <t>Прямо определяет требования</t>
  </si>
  <si>
    <t>Сотрудник службы безопасности</t>
  </si>
  <si>
    <t>Администратор, старший бариста</t>
  </si>
  <si>
    <t>Собственник</t>
  </si>
  <si>
    <t>Определяет косвенно</t>
  </si>
  <si>
    <t>Бухгалтер</t>
  </si>
  <si>
    <t>Не определяет требования</t>
  </si>
  <si>
    <t>Клиент</t>
  </si>
  <si>
    <t>Будущий сотрудник</t>
  </si>
  <si>
    <t>Не пользуется продуктом</t>
  </si>
  <si>
    <t>Поользуется опосредованно</t>
  </si>
  <si>
    <t>Прямо пользуется продуктом</t>
  </si>
  <si>
    <t>Ключевой стейкхолдер:</t>
  </si>
  <si>
    <t>Обоснование:</t>
  </si>
  <si>
    <t>Собственник кофейни Casual — главный инициатор проекта, определяет цели и финансирование(прямо пользуется продуктом и прямо определяет требования к нему</t>
  </si>
  <si>
    <t xml:space="preserve">Определите вид коммуникаций для каждого стейкхолдера
</t>
  </si>
  <si>
    <t>Вид коммуникации</t>
  </si>
  <si>
    <t>Стейкхолдеры</t>
  </si>
  <si>
    <t>Регулярные "жесткие" встречи, чат в мессенджере для оперативных коммуникаций, согласование ключевых решений, полное вовлечение в процесс.</t>
  </si>
  <si>
    <t>Активное участие в создании требований к удобству использования, эффективности и функционала корпоративного портала. Чат в мессенджере для оперативных коммуникаций, встречи по запросу</t>
  </si>
  <si>
    <t>Администратор</t>
  </si>
  <si>
    <t>Привлечение к обсуждению мобильного интерфейса, опрос о удобстве. Чат в мессенджере для оперативных коммуникаций, встречи по запросу</t>
  </si>
  <si>
    <t>Предоставление информации о ходе работ, касающихся модуля отчетности. Запрос обратной связи на готовый функционал. Отчет по e-mail, встречи по запросу</t>
  </si>
  <si>
    <t>Взаимодействие на этапе проектирования системы безопасности, согласование методов аутентификации и защиты данных. Регулярный отчет по e-mail, встречи по запросу</t>
  </si>
  <si>
    <t>Сотрудник СБ</t>
  </si>
  <si>
    <t>E-mail отчет по запросу</t>
  </si>
  <si>
    <t>Не требует вовлечения в процесс разработки. E-mail отчет по запросу</t>
  </si>
  <si>
    <t>Стратегия работы с ключевым стейкхолдером</t>
  </si>
  <si>
    <t>Регулярные совещания по прогрессу, утверждение ключевых решений, демонстрация результатов</t>
  </si>
  <si>
    <t>2. Составьте перечень рисков деятельности предприятия.</t>
  </si>
  <si>
    <t>Перечень рисков предприятия</t>
  </si>
  <si>
    <t>1. Рыночный риск</t>
  </si>
  <si>
    <t>изменения спроса, ценовая конкуренция, появление новых игроков</t>
  </si>
  <si>
    <t>2. Финансовый риск</t>
  </si>
  <si>
    <t>недостаток ликвидности, рост стоимости кредитов</t>
  </si>
  <si>
    <t>3. Операционный риск</t>
  </si>
  <si>
    <t>сбои в производстве, поломка оборудования, нарушения логистики</t>
  </si>
  <si>
    <t>4. Юридический риск</t>
  </si>
  <si>
    <t>изменения законодательства, судебные иски, проблемы с лицензиями</t>
  </si>
  <si>
    <t>5. Кадровый риск</t>
  </si>
  <si>
    <t>уход ключевых сотрудников, дефицит квалифицированных кадров, низкая мотивация</t>
  </si>
  <si>
    <t>6. Репутационный риск</t>
  </si>
  <si>
    <t>негативные публикации, скандалы, потеря доверия клиентов</t>
  </si>
  <si>
    <t>7. Технологический риск</t>
  </si>
  <si>
    <t>устаревание технологий, сбои ИТ-систем</t>
  </si>
  <si>
    <t>8. Риск срыва поставок</t>
  </si>
  <si>
    <t>зависимость от одного поставщика, срывы сроков, рост цен на сырьё</t>
  </si>
  <si>
    <t>9. Стратегический риск</t>
  </si>
  <si>
    <t>ошибочные решения руководства, неверная оценка рынка, отсутствие инноваций</t>
  </si>
  <si>
    <t>3. Проведите качественный анализ выделенных рисков. Определите ключевые риски. Обоснуйте свой выбор.</t>
  </si>
  <si>
    <t>маловероятно</t>
  </si>
  <si>
    <t>вероятно</t>
  </si>
  <si>
    <t>очень вероятно</t>
  </si>
  <si>
    <t>влияние на процесс и его результаты</t>
  </si>
  <si>
    <t>Репутационный риск, стратегический риск</t>
  </si>
  <si>
    <t>Рыночный , финансовый , кадровый  риски</t>
  </si>
  <si>
    <t>Операционный риск, риск срыва поставок</t>
  </si>
  <si>
    <t>высокое влияние</t>
  </si>
  <si>
    <t>Юридический риск</t>
  </si>
  <si>
    <t>Технологический риск</t>
  </si>
  <si>
    <t>среднее влияние</t>
  </si>
  <si>
    <t>низкое влияние</t>
  </si>
  <si>
    <t>вероятность проявления</t>
  </si>
  <si>
    <t>Ключевые риски</t>
  </si>
  <si>
    <t>Обоснование</t>
  </si>
  <si>
    <t>1. Операционный риск(сбои на производстве, поломка оборудования, ошибки процессов</t>
  </si>
  <si>
    <t>Высокое влияние на процесс и результаты и высокая вероятность его возникновения</t>
  </si>
  <si>
    <t>• Прямое влияние на выполнение заказов: Любой сбой на основном производственном контуре или в ключевом процессе немедленно ведет к срыву сроков отгрузки, нарушению договорных обязательств и штрафам.</t>
  </si>
  <si>
    <t>• Каскадный эффект: Остановка одного участка часто парализует всю цепочку создания стоимости.</t>
  </si>
  <si>
    <t>• Критичность для репутации: Регулярные сбои формируют у клиентов имидж ненадежного поставщика.</t>
  </si>
  <si>
    <t>2. Кадровый риск (уход ключевых специалистов, дефицит квалификации, низкая мотивация)</t>
  </si>
  <si>
    <t>Это риск потери "мозга" и "рук" бизнеса.</t>
  </si>
  <si>
    <t>• Невосполнимость в краткосрочной перспективе: Уход уникального сотрудника(например старшего бариста) ставит под угрозу реализацию проектов на месяцы. Накопленные ими неформализованные знания  уходят вместе с ними.</t>
  </si>
  <si>
    <t>• Прямое влияние на операционную устойчивость и качество: Низкая мотивация и текучесть рядового персонала ведут к росту брака, нарушению техники безопасности и падению производительности.</t>
  </si>
  <si>
    <t>• Системная проблема для многих отраслей: Дефицит квалифицированных сотрудников на рынке труда делает этот риск стратегически значимым. Без квалифицированных кадров все остальные инвестиции (в оборудование, IT) не дадут отдачи.</t>
  </si>
  <si>
    <t>3. Риск срыва поставок  (зависимость от единственного поставщика, логистические коллапсы, рост цен на сырье)</t>
  </si>
  <si>
    <t>•  Современные логистические схемы не имеют запаса прочности. Задержка одного контейнера или банкротство единственного поставщика критического компонента может остановить всё производство.</t>
  </si>
  <si>
    <t>• Максимальная вероятность в текущих условиях: Геополитическая нестабильность, санкции, колебания курсов и проблемы в международной логистике делают этот риск одним из самых вероятных.</t>
  </si>
  <si>
    <t>• Прямое воздействие на себестоимость и финансовый результат: Резкий рост цен на сырье или тарифов на перевозку съедает маржинальность, делая проекты убыточными. Несмотря на внешний характер, последствия ощущаются внутри компании мгновенно.</t>
  </si>
  <si>
    <t>• Связующая роль: Этот риск напрямую усиливает операционный (нет сырья — нечего производить) и кадровый (срывы поставок создают авралы и выгорание сотрудников).</t>
  </si>
  <si>
    <t>4. Для любого одного ключевого риска выберите стратегию работы. Обоснуйте свой выбор. В рамках выбранной стратегии работы с риском разработайте план мероприятий по работе с ключевым риском.</t>
  </si>
  <si>
    <t>Ключевой риск</t>
  </si>
  <si>
    <t>Стратегия работы с риском</t>
  </si>
  <si>
    <t>План мероприятий по работе с ключевым риском</t>
  </si>
  <si>
    <t>1. Риск срыва поставок</t>
  </si>
  <si>
    <t>Снижение</t>
  </si>
  <si>
    <t>Прямо управляем за счет пересмотра стратегии закупок и логистики</t>
  </si>
  <si>
    <t>1. Диверсификация поставщиков по каждой критической товарной позиции.
2. Поиск и аттестация локальных поставщиков для снижения логистических рисков.
3. Долгосрочные контракты с фиксацией ключевых условий.
4. Совместное планирование с ключевыми поставщиками .
5. Создание альтернативных спецификаций для сырья.</t>
  </si>
  <si>
    <t>2. Кадровый риск</t>
  </si>
  <si>
    <t>Риск управляем через создание привлекательной среды, развитие и систему преемственности.</t>
  </si>
  <si>
    <t>1. Внедрение программ материальной и нематериальной мотивации (опционы, признание).
2. Создание системы наставничества и карьерного планирования.
3. Формирование кадрового резерва на ключевые позиции.
4. Регулярные exit-интервью для выявления причин увольнений.
5. Развитие корпоративной культуры и вовлеченности.</t>
  </si>
  <si>
    <t>Прямо влияет на выполнение заказов. Большинство причин можно устранить или подготовиться к ним проактивно.</t>
  </si>
  <si>
    <t>1. Внедрение планово-предупредительного ремонта (ППР) критического оборудования.
2. Диверсификация поставщиков и логистических партнеров.
3. Создание страховых запасов ключевых материалов.
4. Разработка и тестирование планов непрерывности бизнеса .
5. Внедрение систем мониторинга оборудования в реальном времени.</t>
  </si>
  <si>
    <t>5. Разработайте технологию мониторинга изменений через предложение действий коррекции, корректирующего и предупреждающего действия.</t>
  </si>
  <si>
    <t>Несоответствие</t>
  </si>
  <si>
    <t>Кофейные напитки стали менее крепкими на вкус</t>
  </si>
  <si>
    <t>Причина</t>
  </si>
  <si>
    <t>Кофемолка перестала выдавать необходимый средний помол</t>
  </si>
  <si>
    <t>Коррекция</t>
  </si>
  <si>
    <t>Действие: Немедленная остановка использования кофе, смолотого данной кофемолкой, для приготовления напитков. Замена его на кофе, молотый на исправной кофемолке , либо использование заранее приготовленного резервного запаса кофе правильного помола.</t>
  </si>
  <si>
    <t>Корректирующее действие</t>
  </si>
  <si>
    <t>Диагностика и ремонт кофемолки. Приглашенный специалист проверяет и регулирует настройки помола, затачивает или заменяет жернова, очищает механизм от застрявших частиц. После ремонта совместно со старшим бариста проводится тестовый помол и варка контрольной порции кофе для проверки соответствия стандарту крепости и вкуса.</t>
  </si>
  <si>
    <t>Предупреждающее действие</t>
  </si>
  <si>
    <t>Внедрение регулярного планово-предупредительного технического обслуживания (ТО) и ежедневной проверки качества помола. Процедура ТО: Составление графика ежеквартальной профессиональной чистки, регулировки и проверки кофемолок специалистом. Ежедневная процедура: Введение обязательной утренней и контрольной в течение дня проверки помола. Бариста должен не только визуально оценивать помол, но и проводить практический тест — сварить эталонный эспрессо (шот), измерить его объем и время пролива (например, 30 мл за 25-30 секунд), а также провести оценку вкусовых качеств.</t>
  </si>
  <si>
    <t>6. Оцените экономический эффект от внедрения процессного подхода на предприятии.</t>
  </si>
  <si>
    <t>* вставьте значения из описания кейса в желтые ячейки для расчета показателей</t>
  </si>
  <si>
    <t>Rate (ставка дисконтирования), %</t>
  </si>
  <si>
    <t>Затраты на проект, руб.</t>
  </si>
  <si>
    <t>Ожидаемая выгода от проекта, руб. в мес</t>
  </si>
  <si>
    <t>Month</t>
  </si>
  <si>
    <t>CF</t>
  </si>
  <si>
    <t>Cost</t>
  </si>
  <si>
    <t>Net CF</t>
  </si>
  <si>
    <t>Discounted</t>
  </si>
  <si>
    <t>Cumulative</t>
  </si>
  <si>
    <t>NPV, RUB</t>
  </si>
  <si>
    <r>
      <rPr>
        <rFont val="Calibri"/>
        <b/>
        <color theme="1"/>
        <sz val="12.0"/>
      </rPr>
      <t xml:space="preserve">Выводы по NPV:  </t>
    </r>
    <r>
      <rPr>
        <rFont val="Calibri"/>
        <b val="0"/>
        <color theme="1"/>
        <sz val="12.0"/>
      </rPr>
      <t>Положительное значение NPV (88 219,75 руб.) свидетельствует о том, что проект по внедрению процессного подхода является экономически эффективным. Он создает дополнительную стоимость для предприятия, превышающую требуемую норму доходности в 12% годовых. Инвестиции окупаются и приносят чистый дисконтированный доход.</t>
    </r>
  </si>
  <si>
    <t>PI</t>
  </si>
  <si>
    <r>
      <rPr>
        <rFont val="Calibri"/>
        <b/>
        <color theme="1"/>
        <sz val="12.0"/>
      </rPr>
      <t xml:space="preserve">Выводы по PI: </t>
    </r>
    <r>
      <rPr>
        <rFont val="Calibri"/>
        <b val="0"/>
        <color theme="1"/>
        <sz val="12.0"/>
      </rPr>
      <t>Индекс прибыльности (PI) равен 1,44, что подтверждает высокую эффективность инвестиций. На каждый вложенный рубль проект генерирует 1,44 рубля дисконтированного дохода. Значение больше 1 указывает на хорошую отдачу от проекта.</t>
    </r>
  </si>
  <si>
    <t>IRR,%</t>
  </si>
  <si>
    <r>
      <rPr>
        <rFont val="Calibri"/>
        <b/>
        <color theme="1"/>
        <sz val="12.0"/>
      </rPr>
      <t xml:space="preserve">Выводы по IRR: </t>
    </r>
    <r>
      <rPr>
        <rFont val="Calibri"/>
        <b val="0"/>
        <color theme="1"/>
        <sz val="12.0"/>
      </rPr>
      <t>Внутренняя норма доходности (IRR) составляет 36,31%, что значительно превышает ставку дисконтирования (12%). Это означает, что проект обладает высокой потенциальной доходностью и является привлекательным для инвестирования. Запас прочности (разница между IRR и ставкой дисконтирования) достаточно велик, что снижает риски проекта.</t>
    </r>
  </si>
  <si>
    <t>Расчёт произведен на основании продолжительности проекта- 3 месяца, не считая стартового (нулевого) месяца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</si>
</sst>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.00"/>
    <numFmt numFmtId="165" formatCode="#,##0.00\ &quot;RUB&quot;"/>
  </numFmts>
  <fonts count="40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i/>
      <sz val="9.0"/>
      <color theme="1"/>
      <name val="Arial"/>
    </font>
    <font>
      <b/>
      <color theme="1"/>
      <name val="Arial"/>
    </font>
    <font/>
    <font>
      <sz val="11.0"/>
      <color rgb="FF000000"/>
      <name val="Arial"/>
    </font>
    <font>
      <i/>
      <sz val="9.0"/>
      <color rgb="FF000000"/>
      <name val="Arial"/>
    </font>
    <font>
      <i/>
      <u/>
      <sz val="9.0"/>
      <color rgb="FF000000"/>
      <name val="Arial"/>
    </font>
    <font>
      <i/>
      <u/>
      <sz val="9.0"/>
      <color rgb="FF000000"/>
      <name val="Arial"/>
    </font>
    <font>
      <i/>
      <sz val="9.0"/>
      <color theme="1"/>
      <name val="Arial"/>
      <scheme val="minor"/>
    </font>
    <font>
      <color rgb="FFFF0000"/>
      <name val="Arial"/>
    </font>
    <font>
      <b/>
      <sz val="11.0"/>
      <color theme="1"/>
      <name val="Arial"/>
    </font>
    <font>
      <sz val="11.0"/>
      <color rgb="FF0F1115"/>
      <name val="Arial"/>
    </font>
    <font>
      <sz val="11.0"/>
      <color rgb="FF0F1115"/>
      <name val="Quote-cjk-patch"/>
    </font>
    <font>
      <sz val="10.0"/>
      <color theme="1"/>
      <name val="Arial"/>
    </font>
    <font>
      <b/>
      <color theme="1"/>
      <name val="Arial"/>
      <scheme val="minor"/>
    </font>
    <font>
      <i/>
      <sz val="9.0"/>
      <color rgb="FFFF0000"/>
      <name val="Arial"/>
      <scheme val="minor"/>
    </font>
    <font>
      <i/>
      <u/>
      <sz val="9.0"/>
      <color rgb="FF0000FF"/>
      <name val="Arial"/>
    </font>
    <font>
      <i/>
      <u/>
      <sz val="9.0"/>
      <color rgb="FF0000FF"/>
      <name val="Arial"/>
    </font>
    <font>
      <i/>
      <u/>
      <sz val="9.0"/>
      <color rgb="FF0000FF"/>
      <name val="Arial"/>
    </font>
    <font>
      <i/>
      <sz val="9.0"/>
      <color rgb="FFFF0000"/>
      <name val="Arial"/>
    </font>
    <font>
      <b/>
      <sz val="18.0"/>
      <color rgb="FF0F1115"/>
      <name val="Arial"/>
      <scheme val="minor"/>
    </font>
    <font>
      <sz val="14.0"/>
      <color rgb="FF0F1115"/>
      <name val="Arial"/>
      <scheme val="minor"/>
    </font>
    <font>
      <sz val="12.0"/>
      <color rgb="FF0F1115"/>
      <name val="Quote-cjk-patch"/>
    </font>
    <font>
      <sz val="11.0"/>
      <color rgb="FF1A1A1A"/>
      <name val="Arial"/>
    </font>
    <font>
      <sz val="12.0"/>
      <color rgb="FF0F1115"/>
      <name val="Arial"/>
    </font>
    <font>
      <sz val="11.0"/>
      <color rgb="FF1A1A1A"/>
      <name val="&quot;YS Text&quot;"/>
    </font>
    <font>
      <b/>
      <sz val="14.0"/>
      <color rgb="FF0F1115"/>
      <name val="Quote-cjk-patch"/>
    </font>
    <font>
      <i/>
      <sz val="8.0"/>
      <color theme="1"/>
      <name val="Arial"/>
    </font>
    <font>
      <sz val="8.0"/>
      <color theme="1"/>
      <name val="Arial"/>
    </font>
    <font>
      <i/>
      <color theme="1"/>
      <name val="Arial"/>
    </font>
    <font>
      <sz val="12.0"/>
      <color rgb="FF0F1115"/>
      <name val="Roboto"/>
    </font>
    <font>
      <i/>
      <sz val="8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0000"/>
      <name val="Calibri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2" numFmtId="0" xfId="0" applyAlignment="1" applyFont="1">
      <alignment vertical="bottom"/>
    </xf>
    <xf borderId="0" fillId="3" fontId="3" numFmtId="0" xfId="0" applyFont="1"/>
    <xf borderId="0" fillId="2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3" numFmtId="0" xfId="0" applyFont="1"/>
    <xf borderId="0" fillId="2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2" fontId="6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2" fillId="3" fontId="6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3" fillId="0" fontId="7" numFmtId="0" xfId="0" applyBorder="1" applyFont="1"/>
    <xf borderId="4" fillId="0" fontId="7" numFmtId="0" xfId="0" applyBorder="1" applyFont="1"/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2" fillId="3" fontId="6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8" numFmtId="0" xfId="0" applyAlignment="1" applyFont="1">
      <alignment horizontal="left" readingOrder="0"/>
    </xf>
    <xf borderId="5" fillId="3" fontId="6" numFmtId="0" xfId="0" applyAlignment="1" applyBorder="1" applyFont="1">
      <alignment horizontal="center"/>
    </xf>
    <xf borderId="1" fillId="3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bottom" wrapText="1"/>
    </xf>
    <xf borderId="0" fillId="2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2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3" numFmtId="0" xfId="0" applyFont="1"/>
    <xf borderId="6" fillId="4" fontId="2" numFmtId="0" xfId="0" applyAlignment="1" applyBorder="1" applyFill="1" applyFont="1">
      <alignment vertical="bottom"/>
    </xf>
    <xf borderId="6" fillId="0" fontId="13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4" fillId="0" fontId="2" numFmtId="0" xfId="0" applyAlignment="1" applyBorder="1" applyFont="1">
      <alignment horizontal="right" shrinkToFit="0" vertical="bottom" wrapText="1"/>
    </xf>
    <xf borderId="7" fillId="0" fontId="2" numFmtId="0" xfId="0" applyAlignment="1" applyBorder="1" applyFont="1">
      <alignment shrinkToFit="0" vertical="bottom" wrapText="1"/>
    </xf>
    <xf borderId="7" fillId="4" fontId="2" numFmtId="164" xfId="0" applyAlignment="1" applyBorder="1" applyFont="1" applyNumberFormat="1">
      <alignment horizontal="right" readingOrder="0" shrinkToFit="0" vertical="bottom" wrapText="1"/>
    </xf>
    <xf borderId="7" fillId="4" fontId="2" numFmtId="164" xfId="0" applyAlignment="1" applyBorder="1" applyFont="1" applyNumberFormat="1">
      <alignment horizontal="right" readingOrder="0" vertical="bottom"/>
    </xf>
    <xf borderId="7" fillId="4" fontId="2" numFmtId="10" xfId="0" applyAlignment="1" applyBorder="1" applyFont="1" applyNumberFormat="1">
      <alignment horizontal="right" readingOrder="0" shrinkToFit="0" vertical="bottom" wrapText="1"/>
    </xf>
    <xf borderId="7" fillId="4" fontId="2" numFmtId="10" xfId="0" applyAlignment="1" applyBorder="1" applyFont="1" applyNumberFormat="1">
      <alignment horizontal="right" readingOrder="0" vertical="bottom"/>
    </xf>
    <xf borderId="7" fillId="0" fontId="2" numFmtId="164" xfId="0" applyAlignment="1" applyBorder="1" applyFont="1" applyNumberFormat="1">
      <alignment horizontal="right" shrinkToFit="0" vertical="bottom" wrapText="1"/>
    </xf>
    <xf borderId="7" fillId="0" fontId="2" numFmtId="164" xfId="0" applyAlignment="1" applyBorder="1" applyFont="1" applyNumberFormat="1">
      <alignment horizontal="right" vertical="bottom"/>
    </xf>
    <xf borderId="6" fillId="2" fontId="2" numFmtId="0" xfId="0" applyAlignment="1" applyBorder="1" applyFont="1">
      <alignment shrinkToFit="0" vertical="bottom" wrapText="1"/>
    </xf>
    <xf borderId="6" fillId="0" fontId="7" numFmtId="0" xfId="0" applyBorder="1" applyFont="1"/>
    <xf borderId="7" fillId="0" fontId="7" numFmtId="0" xfId="0" applyBorder="1" applyFont="1"/>
    <xf borderId="4" fillId="0" fontId="2" numFmtId="0" xfId="0" applyAlignment="1" applyBorder="1" applyFont="1">
      <alignment horizontal="right" shrinkToFit="0" vertical="bottom" wrapText="1"/>
    </xf>
    <xf borderId="7" fillId="4" fontId="2" numFmtId="164" xfId="0" applyAlignment="1" applyBorder="1" applyFont="1" applyNumberFormat="1">
      <alignment horizontal="right" shrinkToFit="0" vertical="bottom" wrapText="1"/>
    </xf>
    <xf borderId="7" fillId="4" fontId="2" numFmtId="164" xfId="0" applyAlignment="1" applyBorder="1" applyFont="1" applyNumberFormat="1">
      <alignment horizontal="right" vertical="bottom"/>
    </xf>
    <xf borderId="6" fillId="2" fontId="3" numFmtId="0" xfId="0" applyAlignment="1" applyBorder="1" applyFont="1">
      <alignment readingOrder="0" shrinkToFit="0" wrapText="1"/>
    </xf>
    <xf borderId="7" fillId="4" fontId="2" numFmtId="0" xfId="0" applyAlignment="1" applyBorder="1" applyFont="1">
      <alignment horizontal="right" readingOrder="0" shrinkToFit="0" vertical="bottom" wrapText="1"/>
    </xf>
    <xf borderId="7" fillId="4" fontId="2" numFmtId="0" xfId="0" applyAlignment="1" applyBorder="1" applyFont="1">
      <alignment horizontal="right" readingOrder="0" vertical="bottom"/>
    </xf>
    <xf borderId="7" fillId="0" fontId="2" numFmtId="164" xfId="0" applyAlignment="1" applyBorder="1" applyFont="1" applyNumberFormat="1">
      <alignment horizontal="center" shrinkToFit="0" vertical="bottom" wrapText="1"/>
    </xf>
    <xf borderId="7" fillId="0" fontId="2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shrinkToFit="0" vertical="bottom" wrapText="1"/>
    </xf>
    <xf borderId="1" fillId="0" fontId="2" numFmtId="164" xfId="0" applyAlignment="1" applyBorder="1" applyFont="1" applyNumberFormat="1">
      <alignment horizontal="center" vertical="bottom"/>
    </xf>
    <xf borderId="0" fillId="2" fontId="13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right" vertical="bottom"/>
    </xf>
    <xf borderId="1" fillId="4" fontId="2" numFmtId="164" xfId="0" applyAlignment="1" applyBorder="1" applyFont="1" applyNumberFormat="1">
      <alignment horizontal="right" readingOrder="0" vertical="bottom"/>
    </xf>
    <xf borderId="7" fillId="0" fontId="2" numFmtId="0" xfId="0" applyAlignment="1" applyBorder="1" applyFont="1">
      <alignment horizontal="center" vertical="bottom"/>
    </xf>
    <xf borderId="7" fillId="0" fontId="2" numFmtId="9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2" fontId="4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1" fillId="6" fontId="14" numFmtId="0" xfId="0" applyAlignment="1" applyBorder="1" applyFill="1" applyFont="1">
      <alignment vertical="bottom"/>
    </xf>
    <xf borderId="1" fillId="2" fontId="16" numFmtId="0" xfId="0" applyAlignment="1" applyBorder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17" numFmtId="0" xfId="0" applyAlignment="1" applyFont="1">
      <alignment shrinkToFit="0" vertical="bottom" wrapText="1"/>
    </xf>
    <xf borderId="0" fillId="0" fontId="2" numFmtId="0" xfId="0" applyAlignment="1" applyFont="1">
      <alignment shrinkToFit="0" vertical="top" wrapText="1"/>
    </xf>
    <xf borderId="0" fillId="2" fontId="17" numFmtId="0" xfId="0" applyAlignment="1" applyFont="1">
      <alignment horizontal="right" shrinkToFit="0" vertical="bottom" wrapText="1"/>
    </xf>
    <xf borderId="0" fillId="0" fontId="6" numFmtId="0" xfId="0" applyAlignment="1" applyFont="1">
      <alignment vertical="bottom"/>
    </xf>
    <xf borderId="0" fillId="2" fontId="8" numFmtId="0" xfId="0" applyFont="1"/>
    <xf borderId="0" fillId="2" fontId="18" numFmtId="0" xfId="0" applyAlignment="1" applyFont="1">
      <alignment horizontal="center" readingOrder="0"/>
    </xf>
    <xf borderId="0" fillId="2" fontId="18" numFmtId="0" xfId="0" applyAlignment="1" applyFont="1">
      <alignment readingOrder="0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/>
    </xf>
    <xf borderId="0" fillId="2" fontId="19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6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0"/>
    </xf>
    <xf borderId="0" fillId="2" fontId="24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2" fontId="25" numFmtId="0" xfId="0" applyAlignment="1" applyFont="1">
      <alignment readingOrder="0" shrinkToFit="0" wrapText="1"/>
    </xf>
    <xf borderId="0" fillId="2" fontId="26" numFmtId="0" xfId="0" applyAlignment="1" applyFont="1">
      <alignment shrinkToFit="0" wrapText="1"/>
    </xf>
    <xf borderId="0" fillId="2" fontId="26" numFmtId="0" xfId="0" applyAlignment="1" applyFont="1">
      <alignment readingOrder="0" shrinkToFit="0" wrapText="1"/>
    </xf>
    <xf borderId="0" fillId="2" fontId="27" numFmtId="0" xfId="0" applyAlignment="1" applyFont="1">
      <alignment horizontal="left" readingOrder="0"/>
    </xf>
    <xf borderId="0" fillId="2" fontId="2" numFmtId="0" xfId="0" applyAlignment="1" applyFont="1">
      <alignment vertical="bottom"/>
    </xf>
    <xf borderId="0" fillId="2" fontId="28" numFmtId="0" xfId="0" applyAlignment="1" applyFont="1">
      <alignment readingOrder="0" shrinkToFit="0" wrapText="1"/>
    </xf>
    <xf borderId="0" fillId="2" fontId="29" numFmtId="0" xfId="0" applyAlignment="1" applyFont="1">
      <alignment horizontal="left" readingOrder="0"/>
    </xf>
    <xf borderId="0" fillId="2" fontId="30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2" fontId="26" numFmtId="0" xfId="0" applyFont="1"/>
    <xf borderId="0" fillId="0" fontId="8" numFmtId="0" xfId="0" applyAlignment="1" applyFont="1">
      <alignment readingOrder="0"/>
    </xf>
    <xf borderId="8" fillId="0" fontId="31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readingOrder="0" vertical="bottom"/>
    </xf>
    <xf borderId="9" fillId="0" fontId="3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readingOrder="0" vertical="bottom"/>
    </xf>
    <xf borderId="9" fillId="0" fontId="32" numFmtId="0" xfId="0" applyAlignment="1" applyBorder="1" applyFont="1">
      <alignment vertical="bottom"/>
    </xf>
    <xf borderId="9" fillId="0" fontId="32" numFmtId="0" xfId="0" applyAlignment="1" applyBorder="1" applyFont="1">
      <alignment shrinkToFit="0" vertical="bottom" wrapText="1"/>
    </xf>
    <xf borderId="1" fillId="7" fontId="6" numFmtId="0" xfId="0" applyAlignment="1" applyBorder="1" applyFill="1" applyFont="1">
      <alignment readingOrder="0" shrinkToFit="0" vertical="bottom" wrapText="1"/>
    </xf>
    <xf borderId="1" fillId="0" fontId="33" numFmtId="0" xfId="0" applyAlignment="1" applyBorder="1" applyFont="1">
      <alignment readingOrder="0" vertical="bottom"/>
    </xf>
    <xf borderId="1" fillId="7" fontId="6" numFmtId="0" xfId="0" applyAlignment="1" applyBorder="1" applyFont="1">
      <alignment readingOrder="0" vertical="bottom"/>
    </xf>
    <xf borderId="1" fillId="0" fontId="34" numFmtId="0" xfId="0" applyAlignment="1" applyBorder="1" applyFont="1">
      <alignment readingOrder="0" shrinkToFit="0" wrapText="1"/>
    </xf>
    <xf borderId="10" fillId="0" fontId="6" numFmtId="0" xfId="0" applyAlignment="1" applyBorder="1" applyFont="1">
      <alignment horizontal="center" vertical="bottom"/>
    </xf>
    <xf borderId="10" fillId="5" fontId="2" numFmtId="0" xfId="0" applyAlignment="1" applyBorder="1" applyFont="1">
      <alignment shrinkToFit="0" vertical="top" wrapText="1"/>
    </xf>
    <xf borderId="10" fillId="4" fontId="2" numFmtId="0" xfId="0" applyAlignment="1" applyBorder="1" applyFont="1">
      <alignment shrinkToFit="0" vertical="top" wrapText="1"/>
    </xf>
    <xf borderId="10" fillId="8" fontId="2" numFmtId="0" xfId="0" applyAlignment="1" applyBorder="1" applyFill="1" applyFont="1">
      <alignment shrinkToFit="0" vertical="top" wrapText="1"/>
    </xf>
    <xf borderId="0" fillId="2" fontId="6" numFmtId="0" xfId="0" applyAlignment="1" applyFont="1">
      <alignment horizontal="center" vertical="bottom"/>
    </xf>
    <xf borderId="1" fillId="2" fontId="34" numFmtId="0" xfId="0" applyAlignment="1" applyBorder="1" applyFont="1">
      <alignment horizontal="left" readingOrder="0" shrinkToFit="0" wrapText="1"/>
    </xf>
    <xf borderId="5" fillId="3" fontId="18" numFmtId="0" xfId="0" applyAlignment="1" applyBorder="1" applyFont="1">
      <alignment readingOrder="0"/>
    </xf>
    <xf borderId="11" fillId="3" fontId="3" numFmtId="0" xfId="0" applyBorder="1" applyFont="1"/>
    <xf borderId="12" fillId="0" fontId="3" numFmtId="0" xfId="0" applyAlignment="1" applyBorder="1" applyFont="1">
      <alignment readingOrder="0" shrinkToFit="0" wrapText="1"/>
    </xf>
    <xf borderId="13" fillId="2" fontId="16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5" fillId="2" fontId="15" numFmtId="0" xfId="0" applyAlignment="1" applyBorder="1" applyFont="1">
      <alignment readingOrder="0" shrinkToFit="0" wrapText="1"/>
    </xf>
    <xf borderId="15" fillId="2" fontId="16" numFmtId="0" xfId="0" applyAlignment="1" applyBorder="1" applyFont="1">
      <alignment readingOrder="0" shrinkToFit="0" wrapText="1"/>
    </xf>
    <xf borderId="1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0" fillId="0" fontId="8" numFmtId="0" xfId="0" applyFont="1"/>
    <xf borderId="1" fillId="0" fontId="3" numFmtId="0" xfId="0" applyBorder="1" applyFont="1"/>
    <xf borderId="1" fillId="0" fontId="18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readingOrder="0"/>
    </xf>
    <xf borderId="17" fillId="0" fontId="7" numFmtId="0" xfId="0" applyBorder="1" applyFont="1"/>
    <xf borderId="11" fillId="0" fontId="7" numFmtId="0" xfId="0" applyBorder="1" applyFont="1"/>
    <xf borderId="5" fillId="7" fontId="6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shrinkToFit="0" vertical="center" wrapText="1"/>
    </xf>
    <xf borderId="5" fillId="2" fontId="15" numFmtId="0" xfId="0" applyAlignment="1" applyBorder="1" applyFont="1">
      <alignment readingOrder="0" shrinkToFit="0" wrapText="1"/>
    </xf>
    <xf borderId="0" fillId="2" fontId="16" numFmtId="0" xfId="0" applyAlignment="1" applyFont="1">
      <alignment readingOrder="0" shrinkToFit="0" wrapText="1"/>
    </xf>
    <xf borderId="5" fillId="2" fontId="16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" fillId="7" fontId="18" numFmtId="0" xfId="0" applyAlignment="1" applyBorder="1" applyFont="1">
      <alignment readingOrder="0"/>
    </xf>
    <xf borderId="1" fillId="3" fontId="18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3" fontId="18" numFmtId="0" xfId="0" applyAlignment="1" applyBorder="1" applyFont="1">
      <alignment readingOrder="0"/>
    </xf>
    <xf borderId="5" fillId="2" fontId="34" numFmtId="0" xfId="0" applyAlignment="1" applyBorder="1" applyFont="1">
      <alignment readingOrder="0" shrinkToFit="0" wrapText="1"/>
    </xf>
    <xf borderId="0" fillId="2" fontId="34" numFmtId="0" xfId="0" applyFont="1"/>
    <xf borderId="0" fillId="2" fontId="34" numFmtId="0" xfId="0" applyAlignment="1" applyFont="1">
      <alignment readingOrder="0"/>
    </xf>
    <xf borderId="0" fillId="0" fontId="35" numFmtId="0" xfId="0" applyAlignment="1" applyFont="1">
      <alignment readingOrder="0" shrinkToFit="0" wrapText="0"/>
    </xf>
    <xf borderId="0" fillId="2" fontId="36" numFmtId="0" xfId="0" applyAlignment="1" applyFont="1">
      <alignment shrinkToFit="0" vertical="bottom" wrapText="1"/>
    </xf>
    <xf borderId="0" fillId="0" fontId="37" numFmtId="0" xfId="0" applyAlignment="1" applyFont="1">
      <alignment vertical="bottom"/>
    </xf>
    <xf borderId="1" fillId="3" fontId="36" numFmtId="0" xfId="0" applyAlignment="1" applyBorder="1" applyFont="1">
      <alignment shrinkToFit="0" vertical="bottom" wrapText="1"/>
    </xf>
    <xf borderId="11" fillId="4" fontId="37" numFmtId="9" xfId="0" applyAlignment="1" applyBorder="1" applyFont="1" applyNumberFormat="1">
      <alignment readingOrder="0" vertical="bottom"/>
    </xf>
    <xf borderId="4" fillId="3" fontId="36" numFmtId="0" xfId="0" applyAlignment="1" applyBorder="1" applyFont="1">
      <alignment shrinkToFit="0" vertical="bottom" wrapText="1"/>
    </xf>
    <xf borderId="7" fillId="4" fontId="37" numFmtId="164" xfId="0" applyAlignment="1" applyBorder="1" applyFont="1" applyNumberFormat="1">
      <alignment readingOrder="0" vertical="bottom"/>
    </xf>
    <xf borderId="6" fillId="0" fontId="37" numFmtId="0" xfId="0" applyAlignment="1" applyBorder="1" applyFont="1">
      <alignment vertical="bottom"/>
    </xf>
    <xf borderId="4" fillId="3" fontId="38" numFmtId="0" xfId="0" applyAlignment="1" applyBorder="1" applyFont="1">
      <alignment vertical="bottom"/>
    </xf>
    <xf borderId="7" fillId="3" fontId="38" numFmtId="0" xfId="0" applyAlignment="1" applyBorder="1" applyFont="1">
      <alignment vertical="bottom"/>
    </xf>
    <xf borderId="0" fillId="2" fontId="39" numFmtId="0" xfId="0" applyFont="1"/>
    <xf borderId="4" fillId="3" fontId="37" numFmtId="0" xfId="0" applyAlignment="1" applyBorder="1" applyFont="1">
      <alignment horizontal="right" vertical="bottom"/>
    </xf>
    <xf borderId="7" fillId="0" fontId="37" numFmtId="165" xfId="0" applyAlignment="1" applyBorder="1" applyFont="1" applyNumberFormat="1">
      <alignment horizontal="right" vertical="bottom"/>
    </xf>
    <xf borderId="7" fillId="0" fontId="37" numFmtId="165" xfId="0" applyAlignment="1" applyBorder="1" applyFont="1" applyNumberFormat="1">
      <alignment vertical="bottom"/>
    </xf>
    <xf borderId="7" fillId="0" fontId="37" numFmtId="165" xfId="0" applyAlignment="1" applyBorder="1" applyFont="1" applyNumberFormat="1">
      <alignment readingOrder="0" vertical="bottom"/>
    </xf>
    <xf borderId="1" fillId="3" fontId="36" numFmtId="0" xfId="0" applyAlignment="1" applyBorder="1" applyFont="1">
      <alignment vertical="bottom"/>
    </xf>
    <xf borderId="1" fillId="0" fontId="37" numFmtId="165" xfId="0" applyAlignment="1" applyBorder="1" applyFont="1" applyNumberFormat="1">
      <alignment horizontal="right" vertical="bottom"/>
    </xf>
    <xf borderId="5" fillId="0" fontId="36" numFmtId="0" xfId="0" applyAlignment="1" applyBorder="1" applyFont="1">
      <alignment readingOrder="0" shrinkToFit="0" vertical="bottom" wrapText="1"/>
    </xf>
    <xf borderId="4" fillId="3" fontId="36" numFmtId="0" xfId="0" applyAlignment="1" applyBorder="1" applyFont="1">
      <alignment vertical="bottom"/>
    </xf>
    <xf borderId="7" fillId="0" fontId="37" numFmtId="4" xfId="0" applyAlignment="1" applyBorder="1" applyFont="1" applyNumberFormat="1">
      <alignment horizontal="center" vertical="bottom"/>
    </xf>
    <xf borderId="16" fillId="0" fontId="36" numFmtId="0" xfId="0" applyAlignment="1" applyBorder="1" applyFont="1">
      <alignment readingOrder="0" shrinkToFit="0" vertical="bottom" wrapText="1"/>
    </xf>
    <xf borderId="7" fillId="0" fontId="37" numFmtId="10" xfId="0" applyAlignment="1" applyBorder="1" applyFont="1" applyNumberFormat="1">
      <alignment horizontal="center" vertical="bottom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jp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7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1181100</xdr:colOff>
      <xdr:row>138</xdr:row>
      <xdr:rowOff>190500</xdr:rowOff>
    </xdr:from>
    <xdr:ext cx="5715000" cy="428625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227</xdr:row>
      <xdr:rowOff>152400</xdr:rowOff>
    </xdr:from>
    <xdr:ext cx="7267575" cy="5362575"/>
    <xdr:pic>
      <xdr:nvPicPr>
        <xdr:cNvPr id="0" name="image5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1910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56197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342900" cy="200025"/>
    <xdr:pic>
      <xdr:nvPicPr>
        <xdr:cNvPr id="0" name="image7.jp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35</xdr:row>
      <xdr:rowOff>38100</xdr:rowOff>
    </xdr:from>
    <xdr:ext cx="5019675" cy="575310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71</xdr:row>
      <xdr:rowOff>152400</xdr:rowOff>
    </xdr:from>
    <xdr:ext cx="2971800" cy="71342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9527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" TargetMode="External"/><Relationship Id="rId2" Type="http://schemas.openxmlformats.org/officeDocument/2006/relationships/hyperlink" Target="https://camunda.com/" TargetMode="External"/><Relationship Id="rId3" Type="http://schemas.openxmlformats.org/officeDocument/2006/relationships/hyperlink" Target="https://miro.com/ru/" TargetMode="External"/><Relationship Id="rId4" Type="http://schemas.openxmlformats.org/officeDocument/2006/relationships/hyperlink" Target="https://app.diagrams.net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miro.com/ru/" TargetMode="External"/><Relationship Id="rId5" Type="http://schemas.openxmlformats.org/officeDocument/2006/relationships/hyperlink" Target="https://camunda.com/" TargetMode="External"/><Relationship Id="rId6" Type="http://schemas.openxmlformats.org/officeDocument/2006/relationships/hyperlink" Target="https://miro.com/ru/" TargetMode="External"/><Relationship Id="rId7" Type="http://schemas.openxmlformats.org/officeDocument/2006/relationships/hyperlink" Target="https://app.diagrams.net/" TargetMode="External"/><Relationship Id="rId8" Type="http://schemas.openxmlformats.org/officeDocument/2006/relationships/hyperlink" Target="https://camunda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" TargetMode="External"/><Relationship Id="rId2" Type="http://schemas.openxmlformats.org/officeDocument/2006/relationships/hyperlink" Target="https://camunda.com/" TargetMode="External"/><Relationship Id="rId3" Type="http://schemas.openxmlformats.org/officeDocument/2006/relationships/hyperlink" Target="https://miro.com/ru/" TargetMode="External"/><Relationship Id="rId4" Type="http://schemas.openxmlformats.org/officeDocument/2006/relationships/hyperlink" Target="https://app.diagrams.net/" TargetMode="External"/><Relationship Id="rId5" Type="http://schemas.openxmlformats.org/officeDocument/2006/relationships/hyperlink" Target="https://camunda.com/" TargetMode="External"/><Relationship Id="rId6" Type="http://schemas.openxmlformats.org/officeDocument/2006/relationships/hyperlink" Target="https://miro.com/ru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4.88"/>
    <col customWidth="1" min="3" max="3" width="42.25"/>
    <col customWidth="1" min="4" max="4" width="46.88"/>
    <col customWidth="1" min="5" max="5" width="28.13"/>
    <col customWidth="1" min="6" max="6" width="16.88"/>
  </cols>
  <sheetData>
    <row r="1">
      <c r="A1" s="1"/>
      <c r="B1" s="2" t="s">
        <v>0</v>
      </c>
      <c r="C1" s="3"/>
      <c r="D1" s="3"/>
      <c r="E1" s="4"/>
      <c r="F1" s="4"/>
      <c r="G1" s="4"/>
      <c r="H1" s="4"/>
      <c r="I1" s="4"/>
    </row>
    <row r="2">
      <c r="A2" s="5"/>
      <c r="B2" s="6" t="s">
        <v>1</v>
      </c>
      <c r="C2" s="7" t="s">
        <v>2</v>
      </c>
    </row>
    <row r="3">
      <c r="A3" s="8"/>
    </row>
    <row r="4">
      <c r="A4" s="9"/>
      <c r="B4" s="10" t="s">
        <v>3</v>
      </c>
      <c r="C4" s="11"/>
    </row>
    <row r="5">
      <c r="A5" s="12"/>
      <c r="B5" s="13"/>
      <c r="C5" s="14" t="s">
        <v>4</v>
      </c>
      <c r="D5" s="14" t="s">
        <v>5</v>
      </c>
    </row>
    <row r="6">
      <c r="A6" s="12"/>
      <c r="B6" s="15" t="s">
        <v>6</v>
      </c>
      <c r="C6" s="16" t="s">
        <v>7</v>
      </c>
      <c r="D6" s="16" t="s">
        <v>8</v>
      </c>
    </row>
    <row r="7">
      <c r="A7" s="12"/>
      <c r="B7" s="17"/>
      <c r="C7" s="16" t="s">
        <v>9</v>
      </c>
      <c r="D7" s="16" t="s">
        <v>10</v>
      </c>
    </row>
    <row r="8">
      <c r="A8" s="12"/>
      <c r="B8" s="17"/>
      <c r="C8" s="16" t="s">
        <v>11</v>
      </c>
      <c r="D8" s="16" t="s">
        <v>12</v>
      </c>
    </row>
    <row r="9">
      <c r="A9" s="12"/>
      <c r="B9" s="17"/>
      <c r="C9" s="16" t="s">
        <v>13</v>
      </c>
      <c r="D9" s="16" t="s">
        <v>14</v>
      </c>
    </row>
    <row r="10">
      <c r="A10" s="12"/>
      <c r="B10" s="17"/>
      <c r="C10" s="16" t="s">
        <v>15</v>
      </c>
      <c r="D10" s="16" t="s">
        <v>16</v>
      </c>
    </row>
    <row r="11">
      <c r="A11" s="12"/>
      <c r="B11" s="17"/>
      <c r="C11" s="16" t="s">
        <v>17</v>
      </c>
      <c r="D11" s="16" t="s">
        <v>18</v>
      </c>
    </row>
    <row r="12">
      <c r="A12" s="12"/>
      <c r="B12" s="17"/>
      <c r="C12" s="16" t="s">
        <v>19</v>
      </c>
      <c r="D12" s="16" t="s">
        <v>20</v>
      </c>
    </row>
    <row r="13">
      <c r="A13" s="12"/>
      <c r="B13" s="18"/>
      <c r="C13" s="16" t="s">
        <v>21</v>
      </c>
      <c r="D13" s="16" t="s">
        <v>22</v>
      </c>
    </row>
    <row r="14">
      <c r="A14" s="12"/>
      <c r="B14" s="15" t="s">
        <v>23</v>
      </c>
      <c r="C14" s="16" t="s">
        <v>24</v>
      </c>
      <c r="D14" s="16" t="s">
        <v>25</v>
      </c>
    </row>
    <row r="15">
      <c r="A15" s="12"/>
      <c r="B15" s="17"/>
      <c r="C15" s="16" t="s">
        <v>26</v>
      </c>
      <c r="D15" s="16" t="s">
        <v>27</v>
      </c>
    </row>
    <row r="16">
      <c r="A16" s="12"/>
      <c r="B16" s="17"/>
      <c r="C16" s="16" t="s">
        <v>28</v>
      </c>
      <c r="D16" s="16" t="s">
        <v>29</v>
      </c>
    </row>
    <row r="17">
      <c r="A17" s="12"/>
      <c r="B17" s="17"/>
      <c r="C17" s="16" t="s">
        <v>30</v>
      </c>
      <c r="D17" s="16" t="s">
        <v>31</v>
      </c>
    </row>
    <row r="18">
      <c r="A18" s="19"/>
      <c r="B18" s="17"/>
      <c r="C18" s="16" t="s">
        <v>32</v>
      </c>
      <c r="D18" s="16" t="s">
        <v>33</v>
      </c>
    </row>
    <row r="19">
      <c r="A19" s="19"/>
      <c r="B19" s="18"/>
      <c r="C19" s="16" t="s">
        <v>34</v>
      </c>
      <c r="D19" s="16" t="s">
        <v>35</v>
      </c>
    </row>
    <row r="20">
      <c r="A20" s="20"/>
      <c r="B20" s="21" t="s">
        <v>36</v>
      </c>
      <c r="C20" s="16" t="s">
        <v>37</v>
      </c>
      <c r="D20" s="16" t="s">
        <v>38</v>
      </c>
    </row>
    <row r="21">
      <c r="A21" s="22"/>
      <c r="B21" s="17"/>
      <c r="C21" s="16" t="s">
        <v>39</v>
      </c>
      <c r="D21" s="16" t="s">
        <v>40</v>
      </c>
    </row>
    <row r="22">
      <c r="A22" s="22"/>
      <c r="B22" s="18"/>
      <c r="C22" s="16" t="s">
        <v>41</v>
      </c>
      <c r="D22" s="16" t="s">
        <v>42</v>
      </c>
    </row>
    <row r="23">
      <c r="A23" s="22"/>
      <c r="B23" s="21" t="s">
        <v>43</v>
      </c>
      <c r="C23" s="16" t="s">
        <v>44</v>
      </c>
      <c r="D23" s="16" t="s">
        <v>45</v>
      </c>
    </row>
    <row r="24">
      <c r="A24" s="22"/>
      <c r="B24" s="17"/>
      <c r="C24" s="16" t="s">
        <v>46</v>
      </c>
      <c r="D24" s="16" t="s">
        <v>47</v>
      </c>
    </row>
    <row r="25">
      <c r="A25" s="22"/>
      <c r="B25" s="18"/>
      <c r="C25" s="16" t="s">
        <v>48</v>
      </c>
      <c r="D25" s="16" t="s">
        <v>49</v>
      </c>
    </row>
    <row r="26">
      <c r="A26" s="22"/>
      <c r="B26" s="21" t="s">
        <v>50</v>
      </c>
      <c r="C26" s="16" t="s">
        <v>51</v>
      </c>
      <c r="D26" s="16" t="s">
        <v>52</v>
      </c>
    </row>
    <row r="27">
      <c r="A27" s="22"/>
      <c r="B27" s="17"/>
      <c r="C27" s="16" t="s">
        <v>53</v>
      </c>
      <c r="D27" s="16" t="s">
        <v>54</v>
      </c>
    </row>
    <row r="28">
      <c r="A28" s="23"/>
      <c r="B28" s="18"/>
      <c r="C28" s="16" t="s">
        <v>55</v>
      </c>
      <c r="D28" s="16" t="s">
        <v>56</v>
      </c>
    </row>
    <row r="29">
      <c r="A29" s="24"/>
      <c r="B29" s="24"/>
      <c r="C29" s="11"/>
    </row>
    <row r="30">
      <c r="A30" s="24"/>
      <c r="B30" s="24" t="s">
        <v>57</v>
      </c>
      <c r="C30" s="11"/>
    </row>
    <row r="31">
      <c r="A31" s="12"/>
      <c r="B31" s="12"/>
      <c r="C31" s="12"/>
      <c r="D31" s="8"/>
    </row>
    <row r="32">
      <c r="A32" s="12"/>
      <c r="B32" s="25" t="s">
        <v>58</v>
      </c>
      <c r="C32" s="26" t="s">
        <v>59</v>
      </c>
      <c r="D32" s="8"/>
    </row>
    <row r="33">
      <c r="A33" s="12"/>
      <c r="B33" s="27" t="s">
        <v>60</v>
      </c>
      <c r="C33" s="28" t="s">
        <v>61</v>
      </c>
      <c r="D33" s="8"/>
    </row>
    <row r="34">
      <c r="A34" s="12"/>
      <c r="B34" s="27" t="s">
        <v>62</v>
      </c>
      <c r="C34" s="28" t="s">
        <v>63</v>
      </c>
      <c r="D34" s="8"/>
    </row>
    <row r="35">
      <c r="A35" s="12"/>
      <c r="B35" s="27" t="s">
        <v>64</v>
      </c>
      <c r="C35" s="28" t="s">
        <v>65</v>
      </c>
      <c r="D35" s="8"/>
    </row>
    <row r="36">
      <c r="A36" s="12"/>
      <c r="B36" s="27" t="s">
        <v>66</v>
      </c>
      <c r="C36" s="28" t="s">
        <v>67</v>
      </c>
      <c r="D36" s="8"/>
    </row>
    <row r="37">
      <c r="A37" s="12"/>
      <c r="B37" s="27" t="s">
        <v>68</v>
      </c>
      <c r="C37" s="28" t="s">
        <v>69</v>
      </c>
      <c r="D37" s="8"/>
    </row>
    <row r="38">
      <c r="A38" s="23"/>
      <c r="B38" s="23"/>
      <c r="C38" s="23"/>
      <c r="D38" s="8"/>
    </row>
    <row r="39">
      <c r="A39" s="23"/>
      <c r="B39" s="23"/>
      <c r="C39" s="23"/>
      <c r="D39" s="8"/>
    </row>
    <row r="40">
      <c r="A40" s="23"/>
      <c r="B40" s="23"/>
      <c r="C40" s="23"/>
      <c r="D40" s="8"/>
    </row>
    <row r="41">
      <c r="A41" s="23"/>
      <c r="B41" s="23"/>
      <c r="C41" s="23"/>
      <c r="D41" s="8"/>
    </row>
    <row r="42">
      <c r="A42" s="23"/>
      <c r="B42" s="23"/>
      <c r="C42" s="23"/>
      <c r="D42" s="8"/>
    </row>
    <row r="43">
      <c r="A43" s="8"/>
      <c r="B43" s="8"/>
      <c r="C43" s="8"/>
      <c r="D43" s="8"/>
    </row>
    <row r="44">
      <c r="A44" s="29"/>
      <c r="B44" s="30" t="s">
        <v>70</v>
      </c>
    </row>
    <row r="45">
      <c r="A45" s="31"/>
      <c r="B45" s="32" t="s">
        <v>71</v>
      </c>
    </row>
    <row r="46">
      <c r="A46" s="31"/>
      <c r="B46" s="33" t="s">
        <v>72</v>
      </c>
    </row>
    <row r="47">
      <c r="A47" s="31"/>
      <c r="B47" s="34" t="s">
        <v>73</v>
      </c>
    </row>
    <row r="48">
      <c r="A48" s="31"/>
      <c r="B48" s="33" t="s">
        <v>74</v>
      </c>
      <c r="C48" s="35"/>
      <c r="E48" s="35"/>
    </row>
    <row r="49">
      <c r="A49" s="36"/>
      <c r="B49" s="37" t="s">
        <v>75</v>
      </c>
    </row>
    <row r="50">
      <c r="A50" s="36"/>
      <c r="B50" s="36"/>
    </row>
    <row r="51">
      <c r="A51" s="36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38"/>
      <c r="B85" s="38" t="s">
        <v>76</v>
      </c>
      <c r="C85" s="8"/>
      <c r="D85" s="8"/>
      <c r="E85" s="8"/>
      <c r="F85" s="8"/>
      <c r="G85" s="8"/>
    </row>
    <row r="86">
      <c r="A86" s="31"/>
      <c r="B86" s="32" t="s">
        <v>77</v>
      </c>
    </row>
    <row r="87">
      <c r="A87" s="31"/>
      <c r="B87" s="33" t="s">
        <v>72</v>
      </c>
    </row>
    <row r="88">
      <c r="A88" s="31"/>
      <c r="B88" s="34" t="s">
        <v>73</v>
      </c>
    </row>
    <row r="89">
      <c r="A89" s="31"/>
      <c r="B89" s="33" t="s">
        <v>74</v>
      </c>
    </row>
    <row r="90">
      <c r="A90" s="36"/>
      <c r="B90" s="37" t="s">
        <v>78</v>
      </c>
    </row>
    <row r="91">
      <c r="A91" s="8"/>
      <c r="B91" s="39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38"/>
      <c r="B116" s="38" t="s">
        <v>79</v>
      </c>
      <c r="C116" s="8"/>
      <c r="D116" s="8"/>
    </row>
    <row r="117">
      <c r="A117" s="36"/>
      <c r="B117" s="36"/>
      <c r="C117" s="8"/>
      <c r="D117" s="8"/>
    </row>
    <row r="118">
      <c r="A118" s="40"/>
      <c r="B118" s="41" t="s">
        <v>80</v>
      </c>
      <c r="C118" s="42"/>
      <c r="D118" s="42"/>
      <c r="E118" s="42"/>
    </row>
    <row r="119">
      <c r="A119" s="43"/>
      <c r="B119" s="44"/>
      <c r="C119" s="45" t="s">
        <v>81</v>
      </c>
      <c r="D119" s="45" t="s">
        <v>82</v>
      </c>
      <c r="E119" s="45" t="s">
        <v>83</v>
      </c>
    </row>
    <row r="120">
      <c r="A120" s="46">
        <v>1.0</v>
      </c>
      <c r="B120" s="47" t="s">
        <v>84</v>
      </c>
      <c r="C120" s="48">
        <v>1200000.0</v>
      </c>
      <c r="D120" s="49">
        <v>1200000.0</v>
      </c>
      <c r="E120" s="49">
        <v>1200000.0</v>
      </c>
    </row>
    <row r="121">
      <c r="A121" s="46">
        <v>2.0</v>
      </c>
      <c r="B121" s="47" t="s">
        <v>85</v>
      </c>
      <c r="C121" s="50">
        <v>0.1</v>
      </c>
      <c r="D121" s="51">
        <v>0.15</v>
      </c>
      <c r="E121" s="51">
        <v>0.05</v>
      </c>
    </row>
    <row r="122">
      <c r="A122" s="46">
        <v>3.0</v>
      </c>
      <c r="B122" s="47" t="s">
        <v>86</v>
      </c>
      <c r="C122" s="52">
        <f t="shared" ref="C122:E122" si="1">C120*C121</f>
        <v>120000</v>
      </c>
      <c r="D122" s="53">
        <f t="shared" si="1"/>
        <v>180000</v>
      </c>
      <c r="E122" s="53">
        <f t="shared" si="1"/>
        <v>60000</v>
      </c>
    </row>
    <row r="123">
      <c r="A123" s="46">
        <v>4.0</v>
      </c>
      <c r="B123" s="47" t="s">
        <v>87</v>
      </c>
      <c r="C123" s="52">
        <f t="shared" ref="C123:E123" si="2">C120+C122</f>
        <v>1320000</v>
      </c>
      <c r="D123" s="53">
        <f t="shared" si="2"/>
        <v>1380000</v>
      </c>
      <c r="E123" s="53">
        <f t="shared" si="2"/>
        <v>1260000</v>
      </c>
    </row>
    <row r="124">
      <c r="A124" s="54"/>
      <c r="B124" s="55"/>
      <c r="C124" s="56"/>
      <c r="D124" s="44"/>
      <c r="E124" s="44"/>
    </row>
    <row r="125">
      <c r="A125" s="46">
        <v>5.0</v>
      </c>
      <c r="B125" s="47" t="s">
        <v>88</v>
      </c>
      <c r="C125" s="48">
        <v>400000.0</v>
      </c>
      <c r="D125" s="49">
        <v>400000.0</v>
      </c>
      <c r="E125" s="49">
        <v>400000.0</v>
      </c>
    </row>
    <row r="126">
      <c r="A126" s="57">
        <v>6.0</v>
      </c>
      <c r="B126" s="47" t="s">
        <v>89</v>
      </c>
      <c r="C126" s="58">
        <v>0.0</v>
      </c>
      <c r="D126" s="49">
        <v>50000.0</v>
      </c>
      <c r="E126" s="59">
        <v>0.0</v>
      </c>
    </row>
    <row r="127">
      <c r="A127" s="57">
        <v>7.0</v>
      </c>
      <c r="B127" s="47" t="s">
        <v>90</v>
      </c>
      <c r="C127" s="52">
        <f t="shared" ref="C127:E127" si="3">C125+C126</f>
        <v>400000</v>
      </c>
      <c r="D127" s="53">
        <f t="shared" si="3"/>
        <v>450000</v>
      </c>
      <c r="E127" s="53">
        <f t="shared" si="3"/>
        <v>400000</v>
      </c>
    </row>
    <row r="128">
      <c r="A128" s="60"/>
      <c r="B128" s="55"/>
      <c r="C128" s="56"/>
      <c r="D128" s="44"/>
      <c r="E128" s="44"/>
    </row>
    <row r="129">
      <c r="A129" s="57">
        <v>8.0</v>
      </c>
      <c r="B129" s="47" t="s">
        <v>91</v>
      </c>
      <c r="C129" s="61">
        <v>0.4</v>
      </c>
      <c r="D129" s="62">
        <v>0.4</v>
      </c>
      <c r="E129" s="62">
        <v>0.4</v>
      </c>
    </row>
    <row r="130">
      <c r="A130" s="57">
        <v>9.0</v>
      </c>
      <c r="B130" s="47" t="s">
        <v>92</v>
      </c>
      <c r="C130" s="61">
        <v>0.4</v>
      </c>
      <c r="D130" s="62">
        <v>0.35</v>
      </c>
      <c r="E130" s="62">
        <v>0.4</v>
      </c>
    </row>
    <row r="131">
      <c r="A131" s="60"/>
      <c r="B131" s="55"/>
      <c r="C131" s="56"/>
      <c r="D131" s="44"/>
      <c r="E131" s="44"/>
    </row>
    <row r="132">
      <c r="A132" s="57">
        <v>10.0</v>
      </c>
      <c r="B132" s="47" t="s">
        <v>93</v>
      </c>
      <c r="C132" s="63">
        <f t="shared" ref="C132:E132" si="4">C125/C129</f>
        <v>1000000</v>
      </c>
      <c r="D132" s="64">
        <f t="shared" si="4"/>
        <v>1000000</v>
      </c>
      <c r="E132" s="64">
        <f t="shared" si="4"/>
        <v>1000000</v>
      </c>
    </row>
    <row r="133">
      <c r="A133" s="57">
        <v>11.0</v>
      </c>
      <c r="B133" s="28" t="s">
        <v>94</v>
      </c>
      <c r="C133" s="65">
        <f t="shared" ref="C133:E133" si="5">C127/C130</f>
        <v>1000000</v>
      </c>
      <c r="D133" s="66">
        <f t="shared" si="5"/>
        <v>1285714.286</v>
      </c>
      <c r="E133" s="66">
        <f t="shared" si="5"/>
        <v>1000000</v>
      </c>
    </row>
    <row r="134">
      <c r="A134" s="57">
        <v>12.0</v>
      </c>
      <c r="B134" s="28" t="s">
        <v>95</v>
      </c>
      <c r="C134" s="65">
        <f t="shared" ref="C134:E134" si="6">C133-C132</f>
        <v>0</v>
      </c>
      <c r="D134" s="66">
        <f t="shared" si="6"/>
        <v>285714.2857</v>
      </c>
      <c r="E134" s="66">
        <f t="shared" si="6"/>
        <v>0</v>
      </c>
    </row>
    <row r="135">
      <c r="A135" s="67"/>
      <c r="B135" s="68" t="s">
        <v>96</v>
      </c>
    </row>
    <row r="136">
      <c r="A136" s="69">
        <v>13.0</v>
      </c>
      <c r="B136" s="70" t="s">
        <v>97</v>
      </c>
      <c r="C136" s="71">
        <f t="shared" ref="C136:E136" si="7">C122*C130-C126</f>
        <v>48000</v>
      </c>
      <c r="D136" s="71">
        <f t="shared" si="7"/>
        <v>13000</v>
      </c>
      <c r="E136" s="71">
        <f t="shared" si="7"/>
        <v>24000</v>
      </c>
    </row>
    <row r="137">
      <c r="A137" s="72">
        <v>14.0</v>
      </c>
      <c r="B137" s="70" t="s">
        <v>98</v>
      </c>
      <c r="C137" s="73">
        <v>100000.0</v>
      </c>
      <c r="D137" s="73">
        <v>50000.0</v>
      </c>
      <c r="E137" s="73">
        <v>150000.0</v>
      </c>
    </row>
    <row r="138">
      <c r="A138" s="72">
        <v>15.0</v>
      </c>
      <c r="B138" s="44" t="s">
        <v>99</v>
      </c>
      <c r="C138" s="74">
        <f t="shared" ref="C138:E138" si="8">C137/C136</f>
        <v>2.083333333</v>
      </c>
      <c r="D138" s="74">
        <f t="shared" si="8"/>
        <v>3.846153846</v>
      </c>
      <c r="E138" s="74">
        <f t="shared" si="8"/>
        <v>6.25</v>
      </c>
    </row>
    <row r="139">
      <c r="A139" s="72">
        <v>16.0</v>
      </c>
      <c r="B139" s="44" t="s">
        <v>100</v>
      </c>
      <c r="C139" s="62">
        <v>1.0</v>
      </c>
      <c r="D139" s="62">
        <v>0.5</v>
      </c>
      <c r="E139" s="62">
        <v>1.0</v>
      </c>
    </row>
    <row r="140">
      <c r="A140" s="72">
        <v>17.0</v>
      </c>
      <c r="B140" s="44" t="s">
        <v>101</v>
      </c>
      <c r="C140" s="75">
        <v>0.25</v>
      </c>
      <c r="D140" s="75">
        <v>0.25</v>
      </c>
      <c r="E140" s="75">
        <v>0.25</v>
      </c>
    </row>
    <row r="141">
      <c r="A141" s="72">
        <v>18.0</v>
      </c>
      <c r="B141" s="44" t="s">
        <v>102</v>
      </c>
      <c r="C141" s="76">
        <f t="shared" ref="C141:E141" si="9">C139+C139*C140</f>
        <v>1.25</v>
      </c>
      <c r="D141" s="76">
        <f t="shared" si="9"/>
        <v>0.625</v>
      </c>
      <c r="E141" s="76">
        <f t="shared" si="9"/>
        <v>1.25</v>
      </c>
    </row>
    <row r="142">
      <c r="A142" s="77">
        <v>19.0</v>
      </c>
      <c r="B142" s="44" t="s">
        <v>103</v>
      </c>
      <c r="C142" s="74">
        <f t="shared" ref="C142:E142" si="10">C138+C141</f>
        <v>3.333333333</v>
      </c>
      <c r="D142" s="74">
        <f t="shared" si="10"/>
        <v>4.471153846</v>
      </c>
      <c r="E142" s="74">
        <f t="shared" si="10"/>
        <v>7.5</v>
      </c>
    </row>
    <row r="143">
      <c r="A143" s="23"/>
      <c r="B143" s="11"/>
      <c r="C143" s="11"/>
      <c r="D143" s="11"/>
      <c r="E143" s="11"/>
      <c r="F143" s="11"/>
    </row>
    <row r="144">
      <c r="A144" s="23"/>
      <c r="B144" s="78" t="s">
        <v>104</v>
      </c>
      <c r="C144" s="11"/>
      <c r="D144" s="11"/>
      <c r="E144" s="11"/>
      <c r="F144" s="11"/>
    </row>
    <row r="145">
      <c r="A145" s="79"/>
      <c r="C145" s="11"/>
      <c r="D145" s="11"/>
      <c r="E145" s="11"/>
      <c r="F145" s="11"/>
    </row>
    <row r="146">
      <c r="A146" s="79"/>
      <c r="B146" s="35" t="s">
        <v>105</v>
      </c>
      <c r="F146" s="11"/>
    </row>
    <row r="147">
      <c r="A147" s="79"/>
      <c r="F147" s="11"/>
    </row>
    <row r="148">
      <c r="A148" s="79"/>
      <c r="B148" s="35" t="s">
        <v>106</v>
      </c>
      <c r="F148" s="11"/>
    </row>
    <row r="149">
      <c r="A149" s="79"/>
      <c r="F149" s="11"/>
    </row>
    <row r="150">
      <c r="A150" s="79"/>
      <c r="B150" s="35" t="s">
        <v>107</v>
      </c>
      <c r="F150" s="11"/>
    </row>
    <row r="151">
      <c r="A151" s="79"/>
      <c r="F151" s="11"/>
    </row>
    <row r="152">
      <c r="A152" s="79"/>
      <c r="B152" s="35" t="s">
        <v>108</v>
      </c>
      <c r="F152" s="11"/>
    </row>
    <row r="153">
      <c r="A153" s="79"/>
      <c r="F153" s="11"/>
    </row>
    <row r="154">
      <c r="A154" s="79"/>
      <c r="B154" s="35" t="s">
        <v>109</v>
      </c>
      <c r="F154" s="11"/>
    </row>
    <row r="155">
      <c r="A155" s="8"/>
      <c r="B155" s="8"/>
      <c r="C155" s="8"/>
      <c r="D155" s="8"/>
    </row>
    <row r="156">
      <c r="A156" s="8"/>
      <c r="B156" s="80" t="s">
        <v>110</v>
      </c>
      <c r="C156" s="8"/>
      <c r="D156" s="8"/>
    </row>
    <row r="157">
      <c r="A157" s="8"/>
      <c r="B157" s="8"/>
      <c r="C157" s="8"/>
      <c r="D157" s="8"/>
    </row>
    <row r="158">
      <c r="A158" s="11"/>
      <c r="B158" s="81" t="s">
        <v>111</v>
      </c>
    </row>
    <row r="159">
      <c r="A159" s="11"/>
      <c r="B159" s="82" t="s">
        <v>112</v>
      </c>
    </row>
    <row r="160">
      <c r="A160" s="11"/>
      <c r="B160" s="11"/>
    </row>
    <row r="161">
      <c r="A161" s="23"/>
      <c r="B161" s="83" t="s">
        <v>113</v>
      </c>
    </row>
    <row r="162">
      <c r="A162" s="23"/>
      <c r="B162" s="70"/>
      <c r="C162" s="84" t="s">
        <v>114</v>
      </c>
      <c r="D162" s="84" t="s">
        <v>115</v>
      </c>
      <c r="E162" s="84" t="s">
        <v>116</v>
      </c>
      <c r="F162" s="84" t="s">
        <v>117</v>
      </c>
      <c r="G162" s="84" t="s">
        <v>118</v>
      </c>
      <c r="H162" s="84" t="s">
        <v>119</v>
      </c>
      <c r="I162" s="85" t="s">
        <v>120</v>
      </c>
      <c r="J162" s="85" t="s">
        <v>121</v>
      </c>
    </row>
    <row r="163">
      <c r="A163" s="23"/>
      <c r="B163" s="84" t="s">
        <v>122</v>
      </c>
      <c r="C163" s="70"/>
      <c r="D163" s="70"/>
      <c r="E163" s="70"/>
      <c r="F163" s="86" t="s">
        <v>123</v>
      </c>
      <c r="G163" s="70"/>
      <c r="H163" s="87" t="s">
        <v>124</v>
      </c>
      <c r="I163" s="70"/>
      <c r="J163" s="70"/>
    </row>
    <row r="164">
      <c r="A164" s="23"/>
      <c r="B164" s="84" t="s">
        <v>125</v>
      </c>
      <c r="C164" s="88" t="s">
        <v>124</v>
      </c>
      <c r="D164" s="70"/>
      <c r="E164" s="70"/>
      <c r="F164" s="70"/>
      <c r="G164" s="86" t="s">
        <v>123</v>
      </c>
      <c r="H164" s="70"/>
      <c r="I164" s="70"/>
      <c r="J164" s="70"/>
    </row>
    <row r="165">
      <c r="A165" s="23"/>
      <c r="B165" s="84" t="s">
        <v>126</v>
      </c>
      <c r="C165" s="70"/>
      <c r="D165" s="87" t="s">
        <v>124</v>
      </c>
      <c r="E165" s="70"/>
      <c r="F165" s="70"/>
      <c r="G165" s="86" t="s">
        <v>123</v>
      </c>
      <c r="H165" s="70"/>
      <c r="I165" s="70"/>
      <c r="J165" s="70"/>
    </row>
    <row r="166">
      <c r="A166" s="23"/>
      <c r="B166" s="84" t="s">
        <v>127</v>
      </c>
      <c r="C166" s="70"/>
      <c r="D166" s="70"/>
      <c r="E166" s="70"/>
      <c r="F166" s="70"/>
      <c r="G166" s="70"/>
      <c r="H166" s="87" t="s">
        <v>124</v>
      </c>
      <c r="I166" s="86" t="s">
        <v>123</v>
      </c>
      <c r="J166" s="70"/>
    </row>
    <row r="167">
      <c r="A167" s="23"/>
      <c r="B167" s="84" t="s">
        <v>128</v>
      </c>
      <c r="C167" s="70"/>
      <c r="D167" s="70"/>
      <c r="E167" s="86" t="s">
        <v>123</v>
      </c>
      <c r="F167" s="70"/>
      <c r="G167" s="87" t="s">
        <v>124</v>
      </c>
      <c r="H167" s="70"/>
      <c r="I167" s="70"/>
      <c r="J167" s="70"/>
    </row>
    <row r="168">
      <c r="A168" s="23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23"/>
      <c r="B169" s="89" t="s">
        <v>129</v>
      </c>
      <c r="C169" s="11"/>
      <c r="D169" s="11"/>
      <c r="E169" s="11"/>
      <c r="F169" s="11"/>
      <c r="G169" s="11"/>
      <c r="H169" s="11"/>
      <c r="I169" s="11"/>
      <c r="J169" s="11"/>
    </row>
    <row r="170">
      <c r="A170" s="23"/>
      <c r="B170" s="90" t="s">
        <v>130</v>
      </c>
      <c r="C170" s="11"/>
      <c r="D170" s="11"/>
      <c r="E170" s="11"/>
      <c r="F170" s="11"/>
      <c r="G170" s="11"/>
      <c r="H170" s="11"/>
      <c r="I170" s="11"/>
      <c r="J170" s="11"/>
    </row>
    <row r="171">
      <c r="A171" s="23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23"/>
      <c r="B172" s="81"/>
      <c r="C172" s="11"/>
      <c r="D172" s="11"/>
      <c r="E172" s="11"/>
      <c r="F172" s="11"/>
      <c r="G172" s="11"/>
      <c r="H172" s="11"/>
      <c r="I172" s="11"/>
      <c r="J172" s="11"/>
    </row>
    <row r="173">
      <c r="A173" s="23"/>
      <c r="B173" s="91" t="s">
        <v>131</v>
      </c>
      <c r="C173" s="91" t="s">
        <v>132</v>
      </c>
      <c r="D173" s="11"/>
      <c r="E173" s="11"/>
      <c r="F173" s="11"/>
      <c r="G173" s="11"/>
      <c r="H173" s="11"/>
      <c r="I173" s="11"/>
      <c r="J173" s="11"/>
    </row>
    <row r="174">
      <c r="A174" s="23"/>
      <c r="B174" s="84" t="s">
        <v>133</v>
      </c>
      <c r="C174" s="92" t="s">
        <v>122</v>
      </c>
      <c r="D174" s="11"/>
      <c r="E174" s="11"/>
      <c r="F174" s="11"/>
      <c r="G174" s="11"/>
      <c r="H174" s="11"/>
      <c r="I174" s="11"/>
      <c r="J174" s="11"/>
    </row>
    <row r="175">
      <c r="A175" s="23"/>
      <c r="B175" s="84" t="s">
        <v>134</v>
      </c>
      <c r="C175" s="92" t="s">
        <v>126</v>
      </c>
      <c r="D175" s="11"/>
      <c r="E175" s="11"/>
      <c r="F175" s="11"/>
      <c r="G175" s="11"/>
      <c r="H175" s="11"/>
      <c r="I175" s="11"/>
      <c r="J175" s="11"/>
    </row>
    <row r="176">
      <c r="A176" s="23"/>
      <c r="B176" s="84" t="s">
        <v>135</v>
      </c>
      <c r="C176" s="92" t="s">
        <v>125</v>
      </c>
      <c r="D176" s="11"/>
      <c r="E176" s="11"/>
      <c r="F176" s="11"/>
      <c r="G176" s="11"/>
      <c r="H176" s="11"/>
      <c r="I176" s="11"/>
      <c r="J176" s="11"/>
    </row>
    <row r="177">
      <c r="A177" s="23"/>
      <c r="B177" s="84" t="s">
        <v>136</v>
      </c>
      <c r="C177" s="92" t="s">
        <v>128</v>
      </c>
      <c r="D177" s="11"/>
      <c r="E177" s="11"/>
      <c r="F177" s="11"/>
      <c r="G177" s="11"/>
      <c r="H177" s="11"/>
      <c r="I177" s="11"/>
      <c r="J177" s="11"/>
    </row>
    <row r="178">
      <c r="A178" s="23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23"/>
      <c r="B179" s="93"/>
      <c r="E179" s="11"/>
      <c r="F179" s="11"/>
      <c r="G179" s="11"/>
      <c r="H179" s="11"/>
      <c r="I179" s="11"/>
      <c r="J179" s="11"/>
    </row>
    <row r="180">
      <c r="A180" s="23"/>
      <c r="B180" s="94" t="s">
        <v>137</v>
      </c>
      <c r="G180" s="11"/>
      <c r="H180" s="11"/>
      <c r="I180" s="11"/>
      <c r="J180" s="11"/>
    </row>
    <row r="181">
      <c r="A181" s="23"/>
      <c r="G181" s="11"/>
      <c r="H181" s="11"/>
      <c r="I181" s="11"/>
      <c r="J181" s="11"/>
    </row>
    <row r="182">
      <c r="A182" s="23"/>
      <c r="B182" s="95"/>
    </row>
    <row r="183">
      <c r="A183" s="23"/>
      <c r="B183" s="96" t="s">
        <v>138</v>
      </c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97"/>
      <c r="B195" s="98" t="s">
        <v>139</v>
      </c>
    </row>
    <row r="196">
      <c r="A196" s="8"/>
    </row>
    <row r="197">
      <c r="A197" s="8"/>
      <c r="B197" s="38" t="s">
        <v>140</v>
      </c>
    </row>
    <row r="198">
      <c r="A198" s="8"/>
      <c r="B198" s="37" t="s">
        <v>141</v>
      </c>
    </row>
    <row r="199">
      <c r="A199" s="8"/>
    </row>
    <row r="200">
      <c r="A200" s="8"/>
      <c r="B200" s="39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  <c r="B222" s="38" t="s">
        <v>142</v>
      </c>
    </row>
    <row r="223">
      <c r="A223" s="8"/>
      <c r="B223" s="32" t="s">
        <v>77</v>
      </c>
    </row>
    <row r="224">
      <c r="A224" s="8"/>
      <c r="B224" s="33" t="s">
        <v>72</v>
      </c>
    </row>
    <row r="225">
      <c r="A225" s="8"/>
      <c r="B225" s="34" t="s">
        <v>73</v>
      </c>
    </row>
    <row r="226">
      <c r="A226" s="8"/>
      <c r="B226" s="33" t="s">
        <v>74</v>
      </c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  <row r="1012">
      <c r="A1012" s="8"/>
    </row>
    <row r="1013">
      <c r="A1013" s="8"/>
    </row>
    <row r="1014">
      <c r="A1014" s="8"/>
    </row>
    <row r="1015">
      <c r="A1015" s="8"/>
    </row>
    <row r="1016">
      <c r="A1016" s="8"/>
    </row>
    <row r="1017">
      <c r="A1017" s="8"/>
    </row>
    <row r="1018">
      <c r="A1018" s="8"/>
    </row>
    <row r="1019">
      <c r="A1019" s="8"/>
    </row>
    <row r="1020">
      <c r="A1020" s="8"/>
    </row>
    <row r="1021">
      <c r="A1021" s="8"/>
    </row>
    <row r="1022">
      <c r="A1022" s="8"/>
    </row>
    <row r="1023">
      <c r="A1023" s="8"/>
    </row>
    <row r="1024">
      <c r="A1024" s="8"/>
    </row>
    <row r="1025">
      <c r="A1025" s="8"/>
    </row>
    <row r="1026">
      <c r="A1026" s="8"/>
    </row>
    <row r="1027">
      <c r="A1027" s="8"/>
    </row>
    <row r="1028">
      <c r="A1028" s="8"/>
    </row>
    <row r="1029">
      <c r="A1029" s="8"/>
    </row>
    <row r="1030">
      <c r="A1030" s="8"/>
    </row>
    <row r="1031">
      <c r="A1031" s="8"/>
    </row>
    <row r="1032">
      <c r="A1032" s="8"/>
    </row>
    <row r="1033">
      <c r="A1033" s="8"/>
    </row>
    <row r="1034">
      <c r="A1034" s="8"/>
    </row>
    <row r="1035">
      <c r="A1035" s="8"/>
    </row>
    <row r="1036">
      <c r="A1036" s="8"/>
    </row>
    <row r="1037">
      <c r="A1037" s="8"/>
    </row>
    <row r="1038">
      <c r="A1038" s="8"/>
    </row>
    <row r="1039">
      <c r="A1039" s="8"/>
    </row>
    <row r="1040">
      <c r="A1040" s="8"/>
    </row>
    <row r="1041">
      <c r="A1041" s="8"/>
    </row>
    <row r="1042">
      <c r="A1042" s="8"/>
    </row>
    <row r="1043">
      <c r="A1043" s="8"/>
    </row>
    <row r="1044">
      <c r="A1044" s="8"/>
    </row>
    <row r="1045">
      <c r="A1045" s="8"/>
    </row>
    <row r="1046">
      <c r="A1046" s="8"/>
    </row>
    <row r="1047">
      <c r="A1047" s="8"/>
    </row>
    <row r="1048">
      <c r="A1048" s="8"/>
    </row>
    <row r="1049">
      <c r="A1049" s="8"/>
    </row>
    <row r="1050">
      <c r="A1050" s="8"/>
    </row>
    <row r="1051">
      <c r="A1051" s="8"/>
    </row>
    <row r="1052">
      <c r="A1052" s="8"/>
    </row>
    <row r="1053">
      <c r="A1053" s="8"/>
    </row>
    <row r="1054">
      <c r="A1054" s="8"/>
    </row>
    <row r="1055">
      <c r="A1055" s="8"/>
    </row>
    <row r="1056">
      <c r="A1056" s="8"/>
    </row>
    <row r="1057">
      <c r="A1057" s="8"/>
    </row>
    <row r="1058">
      <c r="A1058" s="8"/>
    </row>
    <row r="1059">
      <c r="A1059" s="8"/>
    </row>
  </sheetData>
  <mergeCells count="17">
    <mergeCell ref="B6:B13"/>
    <mergeCell ref="B14:B19"/>
    <mergeCell ref="B20:B22"/>
    <mergeCell ref="B23:B25"/>
    <mergeCell ref="B26:B28"/>
    <mergeCell ref="B50:H78"/>
    <mergeCell ref="B91:F107"/>
    <mergeCell ref="B183:H194"/>
    <mergeCell ref="B195:H195"/>
    <mergeCell ref="B200:C218"/>
    <mergeCell ref="A124:C124"/>
    <mergeCell ref="A128:C128"/>
    <mergeCell ref="A131:C131"/>
    <mergeCell ref="B135:F135"/>
    <mergeCell ref="B161:J161"/>
    <mergeCell ref="B179:D179"/>
    <mergeCell ref="B180:F181"/>
  </mergeCells>
  <dataValidations>
    <dataValidation type="list" allowBlank="1" showErrorMessage="1" sqref="C2">
      <formula1>"Кофейня Casual,Торговая сеть «Питерец»,Лакокрасочное производство «Череповецкие краски»,Собственный кейс"</formula1>
    </dataValidation>
  </dataValidations>
  <hyperlinks>
    <hyperlink r:id="rId1" ref="B46"/>
    <hyperlink r:id="rId2" ref="B47"/>
    <hyperlink r:id="rId3" ref="B48"/>
    <hyperlink r:id="rId4" ref="B87"/>
    <hyperlink r:id="rId5" ref="B88"/>
    <hyperlink r:id="rId6" ref="B89"/>
    <hyperlink r:id="rId7" ref="B224"/>
    <hyperlink r:id="rId8" ref="B225"/>
    <hyperlink r:id="rId9" ref="B226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4.25"/>
    <col customWidth="1" min="3" max="3" width="42.0"/>
    <col customWidth="1" min="4" max="4" width="55.25"/>
    <col customWidth="1" min="5" max="5" width="17.88"/>
    <col customWidth="1" min="6" max="6" width="18.5"/>
    <col customWidth="1" min="7" max="7" width="20.0"/>
    <col customWidth="1" min="8" max="8" width="15.25"/>
  </cols>
  <sheetData>
    <row r="1">
      <c r="A1" s="38"/>
      <c r="B1" s="38" t="s">
        <v>143</v>
      </c>
      <c r="C1" s="8"/>
      <c r="D1" s="8"/>
      <c r="E1" s="8"/>
      <c r="F1" s="8"/>
      <c r="G1" s="8"/>
      <c r="H1" s="8"/>
    </row>
    <row r="2">
      <c r="A2" s="99"/>
      <c r="B2" s="8"/>
      <c r="C2" s="8"/>
      <c r="D2" s="8"/>
      <c r="E2" s="8"/>
      <c r="F2" s="8"/>
      <c r="G2" s="8"/>
      <c r="H2" s="8"/>
    </row>
    <row r="3">
      <c r="A3" s="99"/>
      <c r="B3" s="100" t="s">
        <v>144</v>
      </c>
      <c r="E3" s="8"/>
      <c r="F3" s="8"/>
      <c r="G3" s="8"/>
      <c r="H3" s="8"/>
    </row>
    <row r="4">
      <c r="A4" s="99"/>
      <c r="B4" s="8"/>
      <c r="C4" s="8"/>
      <c r="D4" s="8"/>
      <c r="E4" s="8"/>
      <c r="F4" s="8"/>
      <c r="G4" s="8"/>
      <c r="H4" s="8"/>
    </row>
    <row r="5">
      <c r="A5" s="101"/>
      <c r="B5" s="102"/>
      <c r="E5" s="8"/>
      <c r="F5" s="8"/>
      <c r="G5" s="8"/>
      <c r="H5" s="8"/>
    </row>
    <row r="6">
      <c r="A6" s="103"/>
      <c r="E6" s="8"/>
      <c r="F6" s="8"/>
      <c r="G6" s="8"/>
      <c r="H6" s="8"/>
    </row>
    <row r="7">
      <c r="A7" s="103"/>
      <c r="E7" s="8"/>
      <c r="F7" s="8"/>
      <c r="G7" s="8"/>
      <c r="H7" s="8"/>
    </row>
    <row r="8">
      <c r="A8" s="8"/>
      <c r="E8" s="8"/>
      <c r="F8" s="8"/>
      <c r="G8" s="8"/>
      <c r="H8" s="8"/>
    </row>
    <row r="9">
      <c r="A9" s="31"/>
      <c r="E9" s="8"/>
      <c r="F9" s="8"/>
      <c r="G9" s="8"/>
      <c r="H9" s="8"/>
    </row>
    <row r="10">
      <c r="A10" s="31"/>
      <c r="E10" s="8"/>
      <c r="F10" s="8"/>
      <c r="G10" s="8"/>
      <c r="H10" s="8"/>
    </row>
    <row r="11">
      <c r="A11" s="31"/>
      <c r="E11" s="8"/>
      <c r="F11" s="8"/>
      <c r="G11" s="8"/>
      <c r="H11" s="8"/>
    </row>
    <row r="12">
      <c r="A12" s="31"/>
      <c r="E12" s="8"/>
      <c r="F12" s="8"/>
      <c r="G12" s="8"/>
      <c r="H12" s="8"/>
    </row>
    <row r="13">
      <c r="A13" s="31"/>
      <c r="E13" s="8"/>
      <c r="F13" s="8"/>
      <c r="G13" s="8"/>
      <c r="H13" s="8"/>
    </row>
    <row r="14">
      <c r="A14" s="31"/>
      <c r="E14" s="8"/>
      <c r="F14" s="8"/>
      <c r="G14" s="8"/>
      <c r="H14" s="8"/>
    </row>
    <row r="15">
      <c r="A15" s="31"/>
      <c r="E15" s="8"/>
      <c r="F15" s="8"/>
      <c r="G15" s="8"/>
      <c r="H15" s="8"/>
    </row>
    <row r="16">
      <c r="A16" s="31"/>
      <c r="E16" s="8"/>
      <c r="F16" s="8"/>
      <c r="G16" s="8"/>
      <c r="H16" s="8"/>
    </row>
    <row r="17">
      <c r="A17" s="31"/>
      <c r="E17" s="8"/>
      <c r="F17" s="8"/>
      <c r="G17" s="8"/>
      <c r="H17" s="8"/>
    </row>
    <row r="18">
      <c r="A18" s="31"/>
      <c r="E18" s="8"/>
      <c r="F18" s="8"/>
      <c r="G18" s="8"/>
      <c r="H18" s="8"/>
    </row>
    <row r="19">
      <c r="A19" s="31"/>
      <c r="E19" s="8"/>
      <c r="F19" s="8"/>
      <c r="G19" s="8"/>
      <c r="H19" s="8"/>
    </row>
    <row r="20">
      <c r="A20" s="31"/>
      <c r="E20" s="8"/>
      <c r="F20" s="8"/>
      <c r="G20" s="8"/>
      <c r="H20" s="8"/>
    </row>
    <row r="21">
      <c r="A21" s="31"/>
      <c r="E21" s="8"/>
      <c r="F21" s="8"/>
      <c r="G21" s="8"/>
      <c r="H21" s="8"/>
    </row>
    <row r="22">
      <c r="A22" s="31"/>
      <c r="E22" s="8"/>
      <c r="F22" s="8"/>
      <c r="G22" s="8"/>
      <c r="H22" s="8"/>
    </row>
    <row r="23">
      <c r="A23" s="8"/>
      <c r="E23" s="8"/>
      <c r="F23" s="8"/>
      <c r="G23" s="8"/>
      <c r="H23" s="8"/>
    </row>
    <row r="24">
      <c r="A24" s="104"/>
      <c r="E24" s="8"/>
      <c r="F24" s="8"/>
      <c r="G24" s="8"/>
      <c r="H24" s="8"/>
    </row>
    <row r="25">
      <c r="A25" s="104"/>
      <c r="E25" s="8"/>
      <c r="F25" s="8"/>
      <c r="G25" s="8"/>
      <c r="H25" s="8"/>
    </row>
    <row r="26">
      <c r="A26" s="104"/>
      <c r="E26" s="8"/>
      <c r="F26" s="8"/>
      <c r="G26" s="8"/>
      <c r="H26" s="8"/>
    </row>
    <row r="27">
      <c r="A27" s="104"/>
      <c r="E27" s="8"/>
      <c r="F27" s="8"/>
      <c r="G27" s="8"/>
      <c r="H27" s="8"/>
    </row>
    <row r="28">
      <c r="A28" s="104"/>
      <c r="E28" s="8"/>
      <c r="F28" s="8"/>
      <c r="G28" s="8"/>
      <c r="H28" s="8"/>
    </row>
    <row r="29">
      <c r="A29" s="8"/>
      <c r="E29" s="8"/>
      <c r="F29" s="8"/>
      <c r="G29" s="8"/>
      <c r="H29" s="8"/>
    </row>
    <row r="30">
      <c r="A30" s="8"/>
      <c r="E30" s="8"/>
      <c r="F30" s="8"/>
      <c r="G30" s="8"/>
      <c r="H30" s="8"/>
    </row>
    <row r="31">
      <c r="A31" s="8"/>
      <c r="E31" s="8"/>
      <c r="F31" s="8"/>
      <c r="G31" s="8"/>
      <c r="H31" s="8"/>
    </row>
    <row r="32">
      <c r="A32" s="8"/>
      <c r="E32" s="8"/>
      <c r="F32" s="8"/>
      <c r="G32" s="8"/>
      <c r="H32" s="8"/>
    </row>
    <row r="33">
      <c r="A33" s="8"/>
      <c r="E33" s="8"/>
      <c r="F33" s="8"/>
      <c r="G33" s="8"/>
      <c r="H33" s="8"/>
    </row>
    <row r="34">
      <c r="A34" s="8"/>
      <c r="B34" s="38"/>
      <c r="C34" s="8"/>
      <c r="D34" s="8"/>
      <c r="E34" s="8"/>
      <c r="F34" s="8"/>
      <c r="G34" s="8"/>
      <c r="H34" s="8"/>
    </row>
    <row r="35">
      <c r="A35" s="8"/>
      <c r="B35" s="38" t="s">
        <v>145</v>
      </c>
      <c r="C35" s="8"/>
      <c r="D35" s="8"/>
      <c r="E35" s="8"/>
      <c r="F35" s="8"/>
      <c r="G35" s="8"/>
      <c r="H35" s="8"/>
    </row>
    <row r="36">
      <c r="A36" s="8"/>
      <c r="B36" s="105" t="s">
        <v>146</v>
      </c>
      <c r="C36" s="8"/>
      <c r="D36" s="8"/>
      <c r="E36" s="8"/>
      <c r="F36" s="8"/>
      <c r="G36" s="8"/>
      <c r="H36" s="8"/>
    </row>
    <row r="37">
      <c r="A37" s="8"/>
      <c r="B37" s="106" t="s">
        <v>72</v>
      </c>
      <c r="C37" s="8"/>
      <c r="D37" s="8"/>
      <c r="E37" s="8"/>
      <c r="F37" s="8"/>
      <c r="G37" s="8"/>
      <c r="H37" s="8"/>
    </row>
    <row r="38">
      <c r="A38" s="8"/>
      <c r="B38" s="107" t="s">
        <v>73</v>
      </c>
      <c r="C38" s="8"/>
      <c r="D38" s="8"/>
      <c r="E38" s="8"/>
      <c r="F38" s="8"/>
      <c r="G38" s="8"/>
      <c r="H38" s="8"/>
    </row>
    <row r="39">
      <c r="A39" s="8"/>
      <c r="B39" s="108" t="s">
        <v>74</v>
      </c>
      <c r="C39" s="8"/>
      <c r="D39" s="8"/>
      <c r="E39" s="8"/>
      <c r="F39" s="8"/>
      <c r="G39" s="8"/>
      <c r="H39" s="8"/>
    </row>
    <row r="40">
      <c r="A40" s="8"/>
      <c r="B40" s="109" t="s">
        <v>147</v>
      </c>
      <c r="C40" s="8"/>
      <c r="D40" s="8"/>
      <c r="E40" s="8"/>
      <c r="F40" s="8"/>
      <c r="G40" s="8"/>
      <c r="H40" s="8"/>
    </row>
    <row r="41">
      <c r="A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D43" s="8"/>
      <c r="E43" s="8"/>
      <c r="F43" s="8"/>
      <c r="G43" s="8"/>
      <c r="H43" s="8"/>
    </row>
    <row r="44">
      <c r="A44" s="8"/>
      <c r="D44" s="8"/>
      <c r="E44" s="8"/>
      <c r="F44" s="8"/>
      <c r="G44" s="8"/>
      <c r="H44" s="8"/>
    </row>
    <row r="45">
      <c r="A45" s="8"/>
      <c r="D45" s="8"/>
      <c r="E45" s="8"/>
      <c r="F45" s="8"/>
      <c r="G45" s="8"/>
      <c r="H45" s="8"/>
    </row>
    <row r="46">
      <c r="A46" s="8"/>
      <c r="D46" s="8"/>
      <c r="E46" s="8"/>
      <c r="F46" s="8"/>
      <c r="G46" s="8"/>
      <c r="H46" s="8"/>
    </row>
    <row r="47">
      <c r="A47" s="38"/>
      <c r="D47" s="8"/>
      <c r="E47" s="8"/>
      <c r="F47" s="8"/>
      <c r="G47" s="8"/>
      <c r="H47" s="8"/>
    </row>
    <row r="48">
      <c r="A48" s="38"/>
      <c r="D48" s="8"/>
      <c r="E48" s="8"/>
      <c r="F48" s="8"/>
      <c r="G48" s="8"/>
      <c r="H48" s="8"/>
    </row>
    <row r="49">
      <c r="A49" s="38"/>
      <c r="D49" s="8"/>
      <c r="E49" s="8"/>
      <c r="F49" s="8"/>
      <c r="G49" s="8"/>
      <c r="H49" s="8"/>
    </row>
    <row r="50">
      <c r="A50" s="38"/>
      <c r="D50" s="8"/>
      <c r="E50" s="8"/>
      <c r="F50" s="8"/>
      <c r="G50" s="8"/>
      <c r="H50" s="8"/>
    </row>
    <row r="51">
      <c r="A51" s="38"/>
      <c r="D51" s="8"/>
      <c r="E51" s="8"/>
      <c r="F51" s="8"/>
      <c r="G51" s="8"/>
      <c r="H51" s="8"/>
    </row>
    <row r="52">
      <c r="A52" s="38"/>
      <c r="D52" s="8"/>
      <c r="E52" s="8"/>
      <c r="F52" s="8"/>
      <c r="G52" s="8"/>
      <c r="H52" s="8"/>
    </row>
    <row r="53">
      <c r="A53" s="38"/>
      <c r="D53" s="8"/>
      <c r="E53" s="8"/>
      <c r="F53" s="8"/>
      <c r="G53" s="8"/>
      <c r="H53" s="8"/>
    </row>
    <row r="54">
      <c r="A54" s="38"/>
      <c r="D54" s="8"/>
      <c r="E54" s="8"/>
      <c r="F54" s="8"/>
      <c r="G54" s="8"/>
      <c r="H54" s="8"/>
    </row>
    <row r="55">
      <c r="A55" s="38"/>
      <c r="D55" s="8"/>
      <c r="E55" s="8"/>
      <c r="F55" s="8"/>
      <c r="G55" s="8"/>
      <c r="H55" s="8"/>
    </row>
    <row r="56">
      <c r="A56" s="38"/>
      <c r="D56" s="8"/>
      <c r="E56" s="8"/>
      <c r="F56" s="8"/>
      <c r="G56" s="8"/>
      <c r="H56" s="8"/>
    </row>
    <row r="57">
      <c r="A57" s="36"/>
      <c r="D57" s="8"/>
      <c r="E57" s="8"/>
      <c r="F57" s="8"/>
      <c r="G57" s="8"/>
      <c r="H57" s="8"/>
    </row>
    <row r="58">
      <c r="A58" s="31"/>
      <c r="C58" s="8"/>
      <c r="D58" s="8"/>
      <c r="E58" s="8"/>
      <c r="F58" s="8"/>
      <c r="G58" s="8"/>
      <c r="H58" s="8"/>
    </row>
    <row r="59">
      <c r="A59" s="31"/>
      <c r="C59" s="8"/>
      <c r="D59" s="8"/>
      <c r="E59" s="8"/>
      <c r="F59" s="8"/>
      <c r="G59" s="8"/>
      <c r="H59" s="8"/>
    </row>
    <row r="60">
      <c r="A60" s="31"/>
      <c r="B60" s="8"/>
      <c r="C60" s="8"/>
      <c r="D60" s="8"/>
      <c r="E60" s="8"/>
      <c r="F60" s="8"/>
      <c r="G60" s="8"/>
      <c r="H60" s="8"/>
    </row>
    <row r="61">
      <c r="A61" s="31"/>
      <c r="D61" s="8"/>
      <c r="E61" s="8"/>
      <c r="F61" s="8"/>
      <c r="G61" s="8"/>
      <c r="H61" s="8"/>
    </row>
    <row r="62">
      <c r="A62" s="8"/>
      <c r="D62" s="8"/>
      <c r="E62" s="8"/>
      <c r="F62" s="8"/>
      <c r="G62" s="8"/>
      <c r="H62" s="8"/>
    </row>
    <row r="63">
      <c r="A63" s="104"/>
      <c r="D63" s="8"/>
      <c r="E63" s="8"/>
      <c r="F63" s="8"/>
      <c r="G63" s="8"/>
      <c r="H63" s="8"/>
    </row>
    <row r="64">
      <c r="A64" s="8"/>
      <c r="D64" s="8"/>
      <c r="E64" s="8"/>
      <c r="F64" s="8"/>
      <c r="G64" s="8"/>
      <c r="H64" s="8"/>
    </row>
    <row r="65">
      <c r="A65" s="8"/>
      <c r="B65" s="110" t="s">
        <v>148</v>
      </c>
      <c r="C65" s="23"/>
      <c r="D65" s="8"/>
      <c r="E65" s="8"/>
      <c r="F65" s="8"/>
      <c r="G65" s="8"/>
      <c r="H65" s="8"/>
      <c r="I65" s="8"/>
    </row>
    <row r="66">
      <c r="A66" s="8"/>
      <c r="B66" s="105" t="s">
        <v>149</v>
      </c>
      <c r="C66" s="23"/>
      <c r="D66" s="8"/>
      <c r="E66" s="8"/>
      <c r="F66" s="8"/>
      <c r="G66" s="8"/>
      <c r="H66" s="8"/>
      <c r="I66" s="8"/>
    </row>
    <row r="67">
      <c r="A67" s="8"/>
      <c r="B67" s="105" t="s">
        <v>146</v>
      </c>
      <c r="C67" s="111"/>
      <c r="D67" s="8"/>
      <c r="E67" s="8"/>
      <c r="F67" s="8"/>
      <c r="G67" s="8"/>
      <c r="H67" s="8"/>
      <c r="I67" s="8"/>
    </row>
    <row r="68">
      <c r="A68" s="8"/>
      <c r="B68" s="106" t="s">
        <v>72</v>
      </c>
      <c r="C68" s="23"/>
      <c r="D68" s="8"/>
      <c r="E68" s="8"/>
      <c r="F68" s="8"/>
      <c r="G68" s="8"/>
      <c r="H68" s="8"/>
      <c r="I68" s="8"/>
    </row>
    <row r="69">
      <c r="A69" s="8"/>
      <c r="B69" s="107" t="s">
        <v>73</v>
      </c>
      <c r="C69" s="23"/>
      <c r="D69" s="8"/>
      <c r="E69" s="8"/>
      <c r="F69" s="8"/>
      <c r="G69" s="8"/>
      <c r="H69" s="8"/>
      <c r="I69" s="8"/>
    </row>
    <row r="70">
      <c r="A70" s="8"/>
      <c r="B70" s="108" t="s">
        <v>74</v>
      </c>
      <c r="C70" s="23"/>
      <c r="D70" s="8"/>
      <c r="E70" s="8"/>
      <c r="F70" s="8"/>
      <c r="G70" s="8"/>
      <c r="H70" s="8"/>
      <c r="I70" s="8"/>
    </row>
    <row r="71">
      <c r="A71" s="8"/>
      <c r="B71" s="8"/>
      <c r="C71" s="8"/>
      <c r="D71" s="8"/>
      <c r="E71" s="8"/>
      <c r="F71" s="8"/>
      <c r="G71" s="8"/>
      <c r="H71" s="8"/>
      <c r="I71" s="8"/>
    </row>
    <row r="72">
      <c r="A72" s="8"/>
      <c r="B72" s="112"/>
      <c r="C72" s="23"/>
      <c r="D72" s="113" t="s">
        <v>150</v>
      </c>
      <c r="E72" s="114"/>
      <c r="F72" s="8"/>
      <c r="G72" s="8"/>
      <c r="H72" s="8"/>
      <c r="I72" s="8"/>
    </row>
    <row r="73">
      <c r="A73" s="8"/>
      <c r="B73" s="12"/>
      <c r="C73" s="111"/>
      <c r="D73" s="115" t="s">
        <v>151</v>
      </c>
      <c r="E73" s="114"/>
      <c r="F73" s="8"/>
      <c r="G73" s="8"/>
      <c r="H73" s="8"/>
      <c r="I73" s="8"/>
    </row>
    <row r="74">
      <c r="A74" s="38"/>
      <c r="B74" s="23"/>
      <c r="C74" s="23"/>
      <c r="D74" s="116"/>
      <c r="E74" s="114"/>
      <c r="F74" s="8"/>
      <c r="G74" s="8"/>
      <c r="H74" s="8"/>
      <c r="I74" s="8"/>
    </row>
    <row r="75">
      <c r="A75" s="31"/>
      <c r="B75" s="23"/>
      <c r="C75" s="23"/>
      <c r="D75" s="117" t="s">
        <v>152</v>
      </c>
      <c r="E75" s="114"/>
      <c r="F75" s="118"/>
      <c r="G75" s="8"/>
      <c r="H75" s="8"/>
      <c r="I75" s="8"/>
    </row>
    <row r="76">
      <c r="A76" s="101"/>
      <c r="B76" s="119"/>
      <c r="C76" s="23"/>
      <c r="D76" s="116"/>
      <c r="E76" s="114"/>
      <c r="F76" s="118"/>
      <c r="G76" s="8"/>
      <c r="H76" s="8"/>
      <c r="I76" s="8"/>
    </row>
    <row r="77">
      <c r="A77" s="103"/>
      <c r="B77" s="8"/>
      <c r="C77" s="8"/>
      <c r="D77" s="120" t="s">
        <v>153</v>
      </c>
      <c r="E77" s="114"/>
      <c r="F77" s="121"/>
      <c r="G77" s="8"/>
      <c r="H77" s="8"/>
      <c r="I77" s="8"/>
    </row>
    <row r="78">
      <c r="A78" s="103"/>
      <c r="B78" s="112"/>
      <c r="C78" s="23"/>
      <c r="D78" s="116"/>
      <c r="E78" s="19"/>
      <c r="F78" s="119"/>
      <c r="G78" s="23"/>
      <c r="H78" s="23"/>
      <c r="I78" s="8"/>
    </row>
    <row r="79">
      <c r="A79" s="103"/>
      <c r="B79" s="12"/>
      <c r="C79" s="111"/>
      <c r="D79" s="120" t="s">
        <v>154</v>
      </c>
      <c r="E79" s="111"/>
      <c r="F79" s="12"/>
      <c r="G79" s="12"/>
      <c r="H79" s="12"/>
      <c r="I79" s="8"/>
    </row>
    <row r="80">
      <c r="A80" s="8"/>
      <c r="B80" s="23"/>
      <c r="C80" s="23"/>
      <c r="D80" s="116"/>
      <c r="E80" s="19"/>
      <c r="F80" s="119"/>
      <c r="G80" s="23"/>
      <c r="H80" s="23"/>
      <c r="I80" s="8"/>
    </row>
    <row r="81">
      <c r="A81" s="38"/>
      <c r="B81" s="23"/>
      <c r="C81" s="23"/>
      <c r="D81" s="117" t="s">
        <v>155</v>
      </c>
      <c r="E81" s="19"/>
      <c r="F81" s="119"/>
      <c r="G81" s="23"/>
      <c r="H81" s="23"/>
      <c r="I81" s="8"/>
    </row>
    <row r="82">
      <c r="A82" s="101"/>
      <c r="B82" s="119"/>
      <c r="C82" s="119"/>
      <c r="D82" s="116"/>
      <c r="E82" s="19"/>
      <c r="F82" s="119"/>
      <c r="G82" s="23"/>
      <c r="H82" s="23"/>
      <c r="I82" s="8"/>
    </row>
    <row r="83">
      <c r="A83" s="103"/>
      <c r="B83" s="8"/>
      <c r="C83" s="8"/>
      <c r="D83" s="120" t="s">
        <v>156</v>
      </c>
      <c r="E83" s="114"/>
      <c r="F83" s="121"/>
      <c r="G83" s="8"/>
      <c r="H83" s="8"/>
      <c r="I83" s="8"/>
    </row>
    <row r="84">
      <c r="A84" s="103"/>
      <c r="B84" s="8"/>
      <c r="C84" s="8"/>
      <c r="D84" s="122" t="s">
        <v>157</v>
      </c>
      <c r="E84" s="114"/>
      <c r="F84" s="121"/>
      <c r="G84" s="8"/>
      <c r="H84" s="8"/>
      <c r="I84" s="8"/>
    </row>
    <row r="85">
      <c r="A85" s="103"/>
      <c r="B85" s="8"/>
      <c r="C85" s="8"/>
      <c r="D85" s="116"/>
      <c r="E85" s="114"/>
      <c r="F85" s="121"/>
      <c r="G85" s="8"/>
      <c r="H85" s="8"/>
      <c r="I85" s="8"/>
    </row>
    <row r="86">
      <c r="A86" s="8"/>
      <c r="B86" s="8"/>
      <c r="C86" s="8"/>
      <c r="D86" s="117" t="s">
        <v>158</v>
      </c>
      <c r="E86" s="114"/>
      <c r="F86" s="121"/>
      <c r="G86" s="8"/>
      <c r="H86" s="8"/>
      <c r="I86" s="8"/>
    </row>
    <row r="87">
      <c r="A87" s="38"/>
      <c r="B87" s="8"/>
      <c r="C87" s="8"/>
      <c r="D87" s="116"/>
      <c r="E87" s="114"/>
      <c r="F87" s="8"/>
      <c r="G87" s="8"/>
      <c r="H87" s="8"/>
      <c r="I87" s="8"/>
    </row>
    <row r="88">
      <c r="A88" s="101"/>
      <c r="B88" s="123"/>
      <c r="C88" s="123"/>
      <c r="D88" s="117" t="s">
        <v>159</v>
      </c>
      <c r="E88" s="123"/>
      <c r="F88" s="101"/>
      <c r="G88" s="101"/>
      <c r="H88" s="8"/>
      <c r="I88" s="8"/>
    </row>
    <row r="89">
      <c r="A89" s="103"/>
      <c r="B89" s="8"/>
      <c r="C89" s="8"/>
      <c r="D89" s="116"/>
      <c r="E89" s="114"/>
      <c r="F89" s="8"/>
      <c r="G89" s="8"/>
      <c r="H89" s="8"/>
    </row>
    <row r="90">
      <c r="A90" s="103"/>
      <c r="B90" s="8"/>
      <c r="C90" s="8"/>
      <c r="D90" s="117" t="s">
        <v>160</v>
      </c>
      <c r="E90" s="114"/>
      <c r="F90" s="8"/>
      <c r="G90" s="8"/>
      <c r="H90" s="8"/>
    </row>
    <row r="91">
      <c r="A91" s="103"/>
      <c r="B91" s="8"/>
      <c r="C91" s="8"/>
      <c r="D91" s="116"/>
      <c r="E91" s="114"/>
      <c r="F91" s="8"/>
      <c r="G91" s="8"/>
      <c r="H91" s="8"/>
    </row>
    <row r="92">
      <c r="A92" s="8"/>
      <c r="B92" s="8"/>
      <c r="C92" s="8"/>
      <c r="D92" s="117" t="s">
        <v>161</v>
      </c>
      <c r="E92" s="114"/>
      <c r="F92" s="8"/>
      <c r="G92" s="8"/>
      <c r="H92" s="8"/>
    </row>
    <row r="93">
      <c r="A93" s="8"/>
      <c r="B93" s="8"/>
      <c r="C93" s="8"/>
      <c r="D93" s="116"/>
      <c r="E93" s="114"/>
      <c r="F93" s="8"/>
      <c r="G93" s="8"/>
      <c r="H93" s="8"/>
    </row>
    <row r="94">
      <c r="A94" s="8"/>
      <c r="B94" s="8"/>
      <c r="C94" s="8"/>
      <c r="D94" s="117" t="s">
        <v>162</v>
      </c>
      <c r="E94" s="114"/>
      <c r="F94" s="8"/>
      <c r="G94" s="8"/>
      <c r="H94" s="8"/>
    </row>
    <row r="95">
      <c r="A95" s="8"/>
      <c r="B95" s="8"/>
      <c r="C95" s="8"/>
      <c r="D95" s="124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</sheetData>
  <mergeCells count="2">
    <mergeCell ref="B3:D3"/>
    <mergeCell ref="B5:D33"/>
  </mergeCells>
  <hyperlinks>
    <hyperlink r:id="rId1" ref="B37"/>
    <hyperlink r:id="rId2" ref="B38"/>
    <hyperlink r:id="rId3" ref="B39"/>
    <hyperlink r:id="rId4" ref="B68"/>
    <hyperlink r:id="rId5" ref="B69"/>
    <hyperlink r:id="rId6" ref="B70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9.0"/>
    <col customWidth="1" min="3" max="3" width="27.63"/>
    <col customWidth="1" min="4" max="4" width="28.5"/>
    <col customWidth="1" min="5" max="5" width="25.5"/>
    <col customWidth="1" min="6" max="6" width="24.0"/>
  </cols>
  <sheetData>
    <row r="1">
      <c r="A1" s="125" t="s">
        <v>163</v>
      </c>
    </row>
    <row r="2">
      <c r="A2" s="10" t="s">
        <v>164</v>
      </c>
    </row>
    <row r="3" ht="100.5" customHeight="1">
      <c r="A3" s="126" t="s">
        <v>165</v>
      </c>
      <c r="B3" s="127" t="s">
        <v>166</v>
      </c>
      <c r="C3" s="127" t="s">
        <v>167</v>
      </c>
      <c r="D3" s="127" t="s">
        <v>168</v>
      </c>
    </row>
    <row r="4" ht="90.0" customHeight="1">
      <c r="A4" s="128" t="s">
        <v>169</v>
      </c>
      <c r="B4" s="129"/>
      <c r="C4" s="130" t="s">
        <v>170</v>
      </c>
      <c r="D4" s="129"/>
    </row>
    <row r="5" ht="106.5" customHeight="1">
      <c r="A5" s="128" t="s">
        <v>171</v>
      </c>
      <c r="B5" s="130" t="s">
        <v>172</v>
      </c>
      <c r="C5" s="130" t="s">
        <v>173</v>
      </c>
      <c r="D5" s="129"/>
    </row>
    <row r="6">
      <c r="A6" s="129"/>
      <c r="B6" s="131" t="s">
        <v>174</v>
      </c>
      <c r="C6" s="132" t="s">
        <v>175</v>
      </c>
      <c r="D6" s="131" t="s">
        <v>176</v>
      </c>
    </row>
    <row r="7">
      <c r="A7" s="11"/>
      <c r="B7" s="11"/>
      <c r="C7" s="11"/>
      <c r="D7" s="11"/>
      <c r="E7" s="11"/>
    </row>
    <row r="8">
      <c r="A8" s="133" t="s">
        <v>177</v>
      </c>
      <c r="B8" s="134" t="s">
        <v>168</v>
      </c>
      <c r="D8" s="11"/>
      <c r="E8" s="11"/>
    </row>
    <row r="9">
      <c r="A9" s="135" t="s">
        <v>178</v>
      </c>
      <c r="B9" s="136" t="s">
        <v>179</v>
      </c>
      <c r="C9" s="11"/>
      <c r="D9" s="11"/>
      <c r="E9" s="11"/>
    </row>
    <row r="10">
      <c r="B10" s="11"/>
      <c r="C10" s="11"/>
      <c r="D10" s="11"/>
    </row>
    <row r="12" ht="16.5" customHeight="1">
      <c r="A12" s="10" t="s">
        <v>180</v>
      </c>
      <c r="B12" s="11"/>
      <c r="E12" s="11"/>
    </row>
    <row r="13">
      <c r="A13" s="137" t="s">
        <v>181</v>
      </c>
      <c r="B13" s="137" t="s">
        <v>182</v>
      </c>
      <c r="E13" s="11"/>
    </row>
    <row r="14">
      <c r="A14" s="138" t="s">
        <v>183</v>
      </c>
      <c r="B14" s="138" t="s">
        <v>168</v>
      </c>
      <c r="E14" s="11"/>
    </row>
    <row r="15">
      <c r="A15" s="138" t="s">
        <v>184</v>
      </c>
      <c r="B15" s="138" t="s">
        <v>185</v>
      </c>
      <c r="E15" s="11"/>
    </row>
    <row r="16">
      <c r="A16" s="138" t="s">
        <v>186</v>
      </c>
      <c r="B16" s="138" t="s">
        <v>125</v>
      </c>
      <c r="E16" s="11"/>
    </row>
    <row r="17">
      <c r="A17" s="139" t="s">
        <v>187</v>
      </c>
      <c r="B17" s="139" t="s">
        <v>170</v>
      </c>
      <c r="E17" s="11"/>
    </row>
    <row r="18">
      <c r="A18" s="139" t="s">
        <v>188</v>
      </c>
      <c r="B18" s="139" t="s">
        <v>189</v>
      </c>
      <c r="E18" s="11"/>
    </row>
    <row r="19">
      <c r="A19" s="140" t="s">
        <v>190</v>
      </c>
      <c r="B19" s="140" t="s">
        <v>173</v>
      </c>
      <c r="E19" s="11"/>
    </row>
    <row r="20">
      <c r="A20" s="140" t="s">
        <v>191</v>
      </c>
      <c r="B20" s="140" t="s">
        <v>172</v>
      </c>
      <c r="E20" s="11"/>
    </row>
    <row r="21">
      <c r="A21" s="141"/>
      <c r="B21" s="141"/>
      <c r="E21" s="11"/>
    </row>
    <row r="22">
      <c r="A22" s="23"/>
      <c r="B22" s="23"/>
      <c r="C22" s="11"/>
      <c r="D22" s="11"/>
      <c r="E22" s="11"/>
    </row>
    <row r="23">
      <c r="A23" s="133" t="s">
        <v>192</v>
      </c>
      <c r="B23" s="142" t="s">
        <v>193</v>
      </c>
      <c r="C23" s="11"/>
      <c r="D23" s="11"/>
      <c r="E23" s="11"/>
    </row>
    <row r="25">
      <c r="A25" s="125" t="s">
        <v>194</v>
      </c>
    </row>
    <row r="26">
      <c r="A26" s="143" t="s">
        <v>195</v>
      </c>
      <c r="B26" s="144"/>
    </row>
    <row r="27">
      <c r="A27" s="145" t="s">
        <v>196</v>
      </c>
      <c r="B27" s="146" t="s">
        <v>197</v>
      </c>
    </row>
    <row r="28">
      <c r="A28" s="147" t="s">
        <v>198</v>
      </c>
      <c r="B28" s="148" t="s">
        <v>199</v>
      </c>
    </row>
    <row r="29">
      <c r="A29" s="147" t="s">
        <v>200</v>
      </c>
      <c r="B29" s="149" t="s">
        <v>201</v>
      </c>
    </row>
    <row r="30">
      <c r="A30" s="147" t="s">
        <v>202</v>
      </c>
      <c r="B30" s="149" t="s">
        <v>203</v>
      </c>
    </row>
    <row r="31">
      <c r="A31" s="147" t="s">
        <v>204</v>
      </c>
      <c r="B31" s="149" t="s">
        <v>205</v>
      </c>
    </row>
    <row r="32">
      <c r="A32" s="147" t="s">
        <v>206</v>
      </c>
      <c r="B32" s="149" t="s">
        <v>207</v>
      </c>
    </row>
    <row r="33">
      <c r="A33" s="147" t="s">
        <v>208</v>
      </c>
      <c r="B33" s="148" t="s">
        <v>209</v>
      </c>
    </row>
    <row r="34">
      <c r="A34" s="147" t="s">
        <v>210</v>
      </c>
      <c r="B34" s="149" t="s">
        <v>211</v>
      </c>
    </row>
    <row r="35">
      <c r="A35" s="147" t="s">
        <v>212</v>
      </c>
      <c r="B35" s="149" t="s">
        <v>213</v>
      </c>
    </row>
    <row r="36">
      <c r="A36" s="150"/>
      <c r="B36" s="151"/>
    </row>
    <row r="38">
      <c r="A38" s="125" t="s">
        <v>214</v>
      </c>
    </row>
    <row r="39">
      <c r="A39" s="152"/>
    </row>
    <row r="40">
      <c r="A40" s="153"/>
      <c r="B40" s="154" t="s">
        <v>215</v>
      </c>
      <c r="C40" s="154" t="s">
        <v>216</v>
      </c>
      <c r="D40" s="154" t="s">
        <v>217</v>
      </c>
      <c r="E40" s="153"/>
    </row>
    <row r="41" ht="75.75" customHeight="1">
      <c r="A41" s="155" t="s">
        <v>218</v>
      </c>
      <c r="B41" s="156" t="s">
        <v>219</v>
      </c>
      <c r="C41" s="157" t="s">
        <v>220</v>
      </c>
      <c r="D41" s="157" t="s">
        <v>221</v>
      </c>
      <c r="E41" s="158" t="s">
        <v>222</v>
      </c>
    </row>
    <row r="42" ht="85.5" customHeight="1">
      <c r="A42" s="17"/>
      <c r="B42" s="159" t="s">
        <v>223</v>
      </c>
      <c r="C42" s="156" t="s">
        <v>224</v>
      </c>
      <c r="D42" s="160"/>
      <c r="E42" s="161" t="s">
        <v>225</v>
      </c>
    </row>
    <row r="43" ht="87.0" customHeight="1">
      <c r="A43" s="18"/>
      <c r="B43" s="162"/>
      <c r="C43" s="162"/>
      <c r="D43" s="163"/>
      <c r="E43" s="158" t="s">
        <v>226</v>
      </c>
    </row>
    <row r="44">
      <c r="A44" s="153"/>
      <c r="B44" s="164" t="s">
        <v>227</v>
      </c>
      <c r="C44" s="165"/>
      <c r="D44" s="166"/>
      <c r="E44" s="153"/>
    </row>
    <row r="46">
      <c r="A46" s="133" t="s">
        <v>228</v>
      </c>
      <c r="B46" s="167" t="s">
        <v>229</v>
      </c>
      <c r="C46" s="166"/>
    </row>
    <row r="47">
      <c r="A47" s="168" t="s">
        <v>230</v>
      </c>
      <c r="B47" s="169" t="s">
        <v>231</v>
      </c>
      <c r="C47" s="166"/>
      <c r="D47" s="170"/>
      <c r="E47" s="170"/>
    </row>
    <row r="48">
      <c r="A48" s="17"/>
      <c r="B48" s="171" t="s">
        <v>232</v>
      </c>
      <c r="C48" s="166"/>
      <c r="D48" s="170"/>
      <c r="E48" s="170"/>
    </row>
    <row r="49">
      <c r="A49" s="17"/>
      <c r="B49" s="171" t="s">
        <v>233</v>
      </c>
      <c r="C49" s="166"/>
      <c r="D49" s="170"/>
      <c r="E49" s="170"/>
    </row>
    <row r="50">
      <c r="A50" s="18"/>
      <c r="B50" s="171" t="s">
        <v>234</v>
      </c>
      <c r="C50" s="166"/>
      <c r="D50" s="170"/>
      <c r="E50" s="170"/>
    </row>
    <row r="51">
      <c r="A51" s="168" t="s">
        <v>235</v>
      </c>
      <c r="B51" s="169" t="s">
        <v>231</v>
      </c>
      <c r="C51" s="166"/>
      <c r="D51" s="170"/>
      <c r="E51" s="170"/>
    </row>
    <row r="52">
      <c r="A52" s="17"/>
      <c r="B52" s="171" t="s">
        <v>236</v>
      </c>
      <c r="C52" s="166"/>
      <c r="D52" s="170"/>
      <c r="E52" s="170"/>
    </row>
    <row r="53">
      <c r="A53" s="17"/>
      <c r="B53" s="169" t="s">
        <v>237</v>
      </c>
      <c r="C53" s="166"/>
      <c r="D53" s="170"/>
      <c r="E53" s="170"/>
    </row>
    <row r="54">
      <c r="A54" s="17"/>
      <c r="B54" s="171" t="s">
        <v>238</v>
      </c>
      <c r="C54" s="166"/>
      <c r="D54" s="170"/>
      <c r="E54" s="170"/>
    </row>
    <row r="55">
      <c r="A55" s="18"/>
      <c r="B55" s="169" t="s">
        <v>239</v>
      </c>
      <c r="C55" s="166"/>
      <c r="D55" s="172"/>
      <c r="E55" s="173"/>
    </row>
    <row r="56">
      <c r="A56" s="168" t="s">
        <v>240</v>
      </c>
      <c r="B56" s="171" t="s">
        <v>231</v>
      </c>
      <c r="C56" s="166"/>
      <c r="D56" s="172"/>
      <c r="E56" s="172"/>
    </row>
    <row r="57">
      <c r="A57" s="17"/>
      <c r="B57" s="169" t="s">
        <v>241</v>
      </c>
      <c r="C57" s="166"/>
      <c r="D57" s="172"/>
      <c r="E57" s="172"/>
      <c r="F57" s="172"/>
      <c r="G57" s="172"/>
    </row>
    <row r="58">
      <c r="A58" s="17"/>
      <c r="B58" s="171" t="s">
        <v>242</v>
      </c>
      <c r="C58" s="166"/>
      <c r="D58" s="172"/>
      <c r="E58" s="172"/>
      <c r="F58" s="172"/>
      <c r="G58" s="172"/>
    </row>
    <row r="59">
      <c r="A59" s="17"/>
      <c r="B59" s="171" t="s">
        <v>243</v>
      </c>
      <c r="C59" s="166"/>
      <c r="D59" s="172"/>
      <c r="E59" s="172"/>
      <c r="F59" s="172"/>
      <c r="G59" s="172"/>
    </row>
    <row r="60">
      <c r="A60" s="18"/>
      <c r="B60" s="171" t="s">
        <v>244</v>
      </c>
      <c r="C60" s="166"/>
      <c r="D60" s="172"/>
      <c r="E60" s="172"/>
      <c r="F60" s="172"/>
      <c r="G60" s="172"/>
    </row>
    <row r="63">
      <c r="A63" s="125" t="s">
        <v>245</v>
      </c>
    </row>
    <row r="65">
      <c r="A65" s="133" t="s">
        <v>246</v>
      </c>
      <c r="B65" s="174" t="s">
        <v>247</v>
      </c>
      <c r="C65" s="174" t="s">
        <v>229</v>
      </c>
      <c r="D65" s="175" t="s">
        <v>248</v>
      </c>
    </row>
    <row r="66">
      <c r="A66" s="176" t="s">
        <v>249</v>
      </c>
      <c r="B66" s="176" t="s">
        <v>250</v>
      </c>
      <c r="C66" s="170" t="s">
        <v>251</v>
      </c>
      <c r="D66" s="177" t="s">
        <v>252</v>
      </c>
    </row>
    <row r="67">
      <c r="A67" s="176" t="s">
        <v>253</v>
      </c>
      <c r="B67" s="176" t="s">
        <v>250</v>
      </c>
      <c r="C67" s="170" t="s">
        <v>254</v>
      </c>
      <c r="D67" s="177" t="s">
        <v>255</v>
      </c>
    </row>
    <row r="68">
      <c r="A68" s="176" t="s">
        <v>200</v>
      </c>
      <c r="B68" s="176" t="s">
        <v>250</v>
      </c>
      <c r="C68" s="170" t="s">
        <v>256</v>
      </c>
      <c r="D68" s="177" t="s">
        <v>257</v>
      </c>
    </row>
    <row r="70">
      <c r="A70" s="38" t="s">
        <v>258</v>
      </c>
    </row>
    <row r="71">
      <c r="A71" s="99"/>
    </row>
    <row r="72">
      <c r="A72" s="178" t="s">
        <v>259</v>
      </c>
      <c r="B72" s="179" t="s">
        <v>260</v>
      </c>
      <c r="C72" s="166"/>
    </row>
    <row r="73">
      <c r="A73" s="178" t="s">
        <v>261</v>
      </c>
      <c r="B73" s="179" t="s">
        <v>262</v>
      </c>
      <c r="C73" s="166"/>
    </row>
    <row r="74">
      <c r="A74" s="178" t="s">
        <v>263</v>
      </c>
      <c r="B74" s="179" t="s">
        <v>264</v>
      </c>
      <c r="C74" s="166"/>
    </row>
    <row r="75">
      <c r="A75" s="178" t="s">
        <v>265</v>
      </c>
      <c r="B75" s="179" t="s">
        <v>266</v>
      </c>
      <c r="C75" s="166"/>
    </row>
    <row r="76">
      <c r="A76" s="178" t="s">
        <v>267</v>
      </c>
      <c r="B76" s="179" t="s">
        <v>268</v>
      </c>
      <c r="C76" s="166"/>
    </row>
    <row r="77">
      <c r="B77" s="180"/>
    </row>
    <row r="78">
      <c r="B78" s="180"/>
    </row>
    <row r="79">
      <c r="B79" s="180"/>
    </row>
    <row r="80">
      <c r="A80" s="125" t="s">
        <v>269</v>
      </c>
      <c r="B80" s="181"/>
    </row>
    <row r="81">
      <c r="A81" s="182" t="s">
        <v>270</v>
      </c>
      <c r="B81" s="181"/>
    </row>
    <row r="82">
      <c r="A82" s="183"/>
      <c r="B82" s="181"/>
      <c r="C82" s="184"/>
      <c r="D82" s="184"/>
      <c r="E82" s="184"/>
      <c r="F82" s="184"/>
    </row>
    <row r="83">
      <c r="A83" s="185" t="s">
        <v>271</v>
      </c>
      <c r="B83" s="186">
        <v>0.12</v>
      </c>
      <c r="C83" s="184"/>
      <c r="D83" s="184"/>
      <c r="E83" s="184"/>
      <c r="F83" s="184"/>
    </row>
    <row r="84">
      <c r="A84" s="187" t="s">
        <v>272</v>
      </c>
      <c r="B84" s="188">
        <v>-200000.0</v>
      </c>
      <c r="C84" s="184"/>
      <c r="D84" s="184"/>
      <c r="E84" s="184"/>
      <c r="F84" s="184"/>
    </row>
    <row r="85">
      <c r="A85" s="187" t="s">
        <v>273</v>
      </c>
      <c r="B85" s="188">
        <v>120000.0</v>
      </c>
      <c r="C85" s="184"/>
      <c r="D85" s="184"/>
      <c r="E85" s="184"/>
      <c r="F85" s="184"/>
    </row>
    <row r="86">
      <c r="A86" s="184"/>
      <c r="B86" s="184"/>
      <c r="C86" s="184"/>
      <c r="D86" s="184"/>
      <c r="E86" s="184"/>
      <c r="F86" s="184"/>
    </row>
    <row r="87">
      <c r="A87" s="189"/>
      <c r="B87" s="189"/>
      <c r="C87" s="189"/>
      <c r="D87" s="189"/>
      <c r="E87" s="189"/>
      <c r="F87" s="189"/>
    </row>
    <row r="88">
      <c r="A88" s="190" t="s">
        <v>274</v>
      </c>
      <c r="B88" s="191" t="s">
        <v>275</v>
      </c>
      <c r="C88" s="191" t="s">
        <v>276</v>
      </c>
      <c r="D88" s="191" t="s">
        <v>277</v>
      </c>
      <c r="E88" s="191" t="s">
        <v>278</v>
      </c>
      <c r="F88" s="191" t="s">
        <v>279</v>
      </c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>
      <c r="A89" s="193">
        <v>0.0</v>
      </c>
      <c r="B89" s="194">
        <v>0.0</v>
      </c>
      <c r="C89" s="195">
        <f>B84</f>
        <v>-200000</v>
      </c>
      <c r="D89" s="194">
        <f t="shared" ref="D89:D93" si="1">B89+C89</f>
        <v>-200000</v>
      </c>
      <c r="E89" s="194">
        <f>D89/POWER(1+$B$2,A89)</f>
        <v>-200000</v>
      </c>
      <c r="F89" s="194">
        <f>E89</f>
        <v>-200000</v>
      </c>
    </row>
    <row r="90">
      <c r="A90" s="193">
        <v>1.0</v>
      </c>
      <c r="B90" s="195">
        <f>B85</f>
        <v>120000</v>
      </c>
      <c r="C90" s="194">
        <v>0.0</v>
      </c>
      <c r="D90" s="194">
        <f t="shared" si="1"/>
        <v>120000</v>
      </c>
      <c r="E90" s="194">
        <f>D90/POWER(1+B83,A90)</f>
        <v>107142.8571</v>
      </c>
      <c r="F90" s="194">
        <f t="shared" ref="F90:F93" si="2">F89+E90</f>
        <v>-92857.14286</v>
      </c>
    </row>
    <row r="91">
      <c r="A91" s="193">
        <v>2.0</v>
      </c>
      <c r="B91" s="195">
        <f>B85</f>
        <v>120000</v>
      </c>
      <c r="C91" s="194">
        <v>0.0</v>
      </c>
      <c r="D91" s="194">
        <f t="shared" si="1"/>
        <v>120000</v>
      </c>
      <c r="E91" s="194">
        <f>D91/POWER(1+B83,A91)</f>
        <v>95663.26531</v>
      </c>
      <c r="F91" s="194">
        <f t="shared" si="2"/>
        <v>2806.122449</v>
      </c>
    </row>
    <row r="92">
      <c r="A92" s="193">
        <v>3.0</v>
      </c>
      <c r="B92" s="195">
        <f>B85</f>
        <v>120000</v>
      </c>
      <c r="C92" s="194">
        <v>0.0</v>
      </c>
      <c r="D92" s="194">
        <f t="shared" si="1"/>
        <v>120000</v>
      </c>
      <c r="E92" s="194">
        <f>D92/POWER(1+B83,A92)</f>
        <v>85413.62974</v>
      </c>
      <c r="F92" s="194">
        <f t="shared" si="2"/>
        <v>88219.75219</v>
      </c>
    </row>
    <row r="93">
      <c r="A93" s="193">
        <v>4.0</v>
      </c>
      <c r="B93" s="196">
        <v>0.0</v>
      </c>
      <c r="C93" s="194">
        <v>0.0</v>
      </c>
      <c r="D93" s="194">
        <f t="shared" si="1"/>
        <v>0</v>
      </c>
      <c r="E93" s="194">
        <f>D93/POWER(1+$B$2,A93)</f>
        <v>0</v>
      </c>
      <c r="F93" s="194">
        <f t="shared" si="2"/>
        <v>88219.75219</v>
      </c>
    </row>
    <row r="94">
      <c r="A94" s="184"/>
      <c r="B94" s="184"/>
      <c r="C94" s="184"/>
      <c r="D94" s="184"/>
      <c r="E94" s="184"/>
      <c r="F94" s="184"/>
    </row>
    <row r="95">
      <c r="A95" s="197" t="s">
        <v>280</v>
      </c>
      <c r="B95" s="198">
        <f>F93</f>
        <v>88219.75219</v>
      </c>
      <c r="C95" s="184"/>
      <c r="D95" s="184"/>
      <c r="E95" s="184"/>
      <c r="F95" s="184"/>
    </row>
    <row r="96">
      <c r="A96" s="199" t="s">
        <v>281</v>
      </c>
      <c r="B96" s="166"/>
      <c r="C96" s="184"/>
      <c r="D96" s="184"/>
      <c r="E96" s="184"/>
      <c r="F96" s="184"/>
    </row>
    <row r="97">
      <c r="A97" s="189"/>
      <c r="B97" s="189"/>
      <c r="C97" s="184"/>
      <c r="D97" s="184"/>
      <c r="E97" s="184"/>
      <c r="F97" s="184"/>
    </row>
    <row r="98">
      <c r="A98" s="200" t="s">
        <v>282</v>
      </c>
      <c r="B98" s="201">
        <f>SUM(E90:E93)/ABS(B84)</f>
        <v>1.441098761</v>
      </c>
      <c r="C98" s="184"/>
      <c r="D98" s="184"/>
      <c r="E98" s="184"/>
      <c r="F98" s="184"/>
    </row>
    <row r="99">
      <c r="A99" s="202" t="s">
        <v>283</v>
      </c>
      <c r="B99" s="56"/>
      <c r="C99" s="184"/>
      <c r="D99" s="184"/>
      <c r="E99" s="184"/>
      <c r="F99" s="184"/>
    </row>
    <row r="100">
      <c r="A100" s="189"/>
      <c r="B100" s="189"/>
      <c r="C100" s="184"/>
      <c r="D100" s="184"/>
      <c r="E100" s="184"/>
      <c r="F100" s="184"/>
    </row>
    <row r="101">
      <c r="A101" s="200" t="s">
        <v>284</v>
      </c>
      <c r="B101" s="203">
        <f>IRR(D89:D93)</f>
        <v>0.3630965395</v>
      </c>
      <c r="C101" s="184"/>
      <c r="D101" s="184"/>
      <c r="E101" s="184"/>
      <c r="F101" s="184"/>
    </row>
    <row r="102">
      <c r="A102" s="202" t="s">
        <v>285</v>
      </c>
      <c r="B102" s="56"/>
      <c r="C102" s="184"/>
      <c r="D102" s="184"/>
      <c r="E102" s="184"/>
      <c r="F102" s="184"/>
    </row>
    <row r="103">
      <c r="C103" s="184"/>
      <c r="D103" s="184"/>
      <c r="E103" s="184"/>
      <c r="F103" s="184"/>
    </row>
    <row r="104">
      <c r="A104" s="204" t="s">
        <v>286</v>
      </c>
      <c r="B104" s="35"/>
      <c r="C104" s="35"/>
      <c r="D104" s="35"/>
      <c r="E104" s="184"/>
      <c r="F104" s="184"/>
    </row>
    <row r="105">
      <c r="C105" s="184"/>
      <c r="D105" s="184"/>
      <c r="E105" s="184"/>
      <c r="F105" s="184"/>
    </row>
  </sheetData>
  <mergeCells count="28">
    <mergeCell ref="A47:A50"/>
    <mergeCell ref="A51:A55"/>
    <mergeCell ref="A56:A60"/>
    <mergeCell ref="A41:A43"/>
    <mergeCell ref="B44:D44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76:C76"/>
    <mergeCell ref="A96:B96"/>
    <mergeCell ref="A99:B99"/>
    <mergeCell ref="A102:B102"/>
    <mergeCell ref="B58:C58"/>
    <mergeCell ref="B59:C59"/>
    <mergeCell ref="B60:C60"/>
    <mergeCell ref="B72:C72"/>
    <mergeCell ref="B73:C73"/>
    <mergeCell ref="B74:C74"/>
    <mergeCell ref="B75:C75"/>
  </mergeCells>
  <dataValidations>
    <dataValidation type="list" allowBlank="1" showErrorMessage="1" sqref="B66:B68">
      <formula1>"Принятие,Уклонение,Снижение,Передача"</formula1>
    </dataValidation>
  </dataValidations>
  <drawing r:id="rId1"/>
</worksheet>
</file>